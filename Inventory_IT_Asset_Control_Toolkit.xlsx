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Inventory" sheetId="2" state="visible" r:id="rId2"/>
    <sheet name="Inventory Dashboard" sheetId="3" state="visible" r:id="rId3"/>
    <sheet name="Aged Excess Analysis" sheetId="4" state="visible" r:id="rId4"/>
    <sheet name="Markdown Planner" sheetId="5" state="visible" r:id="rId5"/>
    <sheet name="Transfer Planner" sheetId="6" state="visible" r:id="rId6"/>
    <sheet name="IT Asset Register" sheetId="7" state="visible" r:id="rId7"/>
    <sheet name="Audit Reconciliation" sheetId="8" state="visible" r:id="rId8"/>
    <sheet name="Software Licenses" sheetId="9" state="visible" r:id="rId9"/>
    <sheet name="Mobile Provisioning" sheetId="10" state="visible" r:id="rId10"/>
    <sheet name="Disposal Log" sheetId="11" state="visible" r:id="rId11"/>
    <sheet name="Management Summary" sheetId="12" state="visible" r:id="rId12"/>
  </sheets>
  <definedNames>
    <definedName name="_xlnm.Print_Titles" localSheetId="0">'README'!$1:$3</definedName>
    <definedName name="_xlnm.Print_Titles" localSheetId="1">'Master Inventory'!$2:$2</definedName>
    <definedName name="_xlnm.Print_Titles" localSheetId="2">'Inventory Dashboard'!$1:$1</definedName>
    <definedName name="_xlnm.Print_Titles" localSheetId="3">'Aged Excess Analysis'!$2:$2</definedName>
    <definedName name="_xlnm.Print_Titles" localSheetId="4">'Markdown Planner'!$2:$2</definedName>
    <definedName name="_xlnm.Print_Titles" localSheetId="5">'Transfer Planner'!$2:$2</definedName>
    <definedName name="_xlnm.Print_Titles" localSheetId="6">'IT Asset Register'!$2:$2</definedName>
    <definedName name="_xlnm.Print_Titles" localSheetId="7">'Audit Reconciliation'!$1:$1</definedName>
    <definedName name="_xlnm.Print_Titles" localSheetId="8">'Software Licenses'!$6:$6</definedName>
    <definedName name="_xlnm.Print_Titles" localSheetId="9">'Mobile Provisioning'!$6:$6</definedName>
    <definedName name="_xlnm.Print_Titles" localSheetId="10">'Disposal Log'!$6:$6</definedName>
    <definedName name="_xlnm.Print_Titles" localSheetId="11">'Management Summary'!$1:$2</definedName>
  </definedNames>
  <calcPr calcId="124519" fullCalcOnLoad="1"/>
</workbook>
</file>

<file path=xl/styles.xml><?xml version="1.0" encoding="utf-8"?>
<styleSheet xmlns="http://schemas.openxmlformats.org/spreadsheetml/2006/main">
  <numFmts count="5">
    <numFmt numFmtId="164" formatCode="yyyy-mm-dd"/>
    <numFmt numFmtId="165" formatCode="&quot;$&quot;#,##0.00"/>
    <numFmt numFmtId="166" formatCode="mm/dd/yyyy"/>
    <numFmt numFmtId="167" formatCode="0.0%"/>
    <numFmt numFmtId="168" formatCode="&quot;$&quot;#,##0"/>
  </numFmts>
  <fonts count="9">
    <font>
      <name val="Calibri"/>
      <family val="2"/>
      <color theme="1"/>
      <sz val="11"/>
      <scheme val="minor"/>
    </font>
    <font>
      <name val="Calibri"/>
      <b val="1"/>
      <color rgb="00FFFFFF"/>
      <sz val="18"/>
    </font>
    <font>
      <name val="Calibri"/>
      <b val="1"/>
      <color rgb="0017365D"/>
      <sz val="10"/>
    </font>
    <font>
      <name val="Calibri"/>
      <i val="1"/>
      <color rgb="0017365D"/>
      <sz val="10"/>
    </font>
    <font>
      <name val="Calibri"/>
      <b val="1"/>
      <color rgb="00FFFFFF"/>
      <sz val="10"/>
    </font>
    <font>
      <name val="Calibri"/>
      <sz val="10"/>
    </font>
    <font>
      <name val="Calibri"/>
      <b val="1"/>
      <color rgb="00FFFFFF"/>
      <sz val="14"/>
    </font>
    <font>
      <name val="Calibri"/>
      <b val="1"/>
      <color rgb="00FFFFFF"/>
      <sz val="11"/>
    </font>
    <font>
      <name val="Calibri"/>
      <b val="1"/>
      <color rgb="001F4E78"/>
      <sz val="18"/>
    </font>
  </fonts>
  <fills count="6">
    <fill>
      <patternFill/>
    </fill>
    <fill>
      <patternFill patternType="gray125"/>
    </fill>
    <fill>
      <patternFill patternType="solid">
        <fgColor rgb="001F4E78"/>
        <bgColor rgb="001F4E78"/>
      </patternFill>
    </fill>
    <fill>
      <patternFill patternType="solid">
        <fgColor rgb="00D9EAF7"/>
        <bgColor rgb="00D9EAF7"/>
      </patternFill>
    </fill>
    <fill>
      <patternFill patternType="solid">
        <fgColor rgb="00F2F2F2"/>
        <bgColor rgb="00F2F2F2"/>
      </patternFill>
    </fill>
    <fill>
      <patternFill patternType="solid">
        <fgColor rgb="0017365D"/>
        <bgColor rgb="0017365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1F4E78"/>
      </left>
      <right style="thin">
        <color rgb="001F4E78"/>
      </right>
      <top style="thin">
        <color rgb="001F4E78"/>
      </top>
      <bottom style="thin">
        <color rgb="001F4E78"/>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left" vertical="center" wrapText="1"/>
    </xf>
    <xf numFmtId="0" fontId="4"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0" applyAlignment="1" pivotButton="0" quotePrefix="0" xfId="0">
      <alignment horizontal="left" vertical="top" wrapText="1"/>
    </xf>
    <xf numFmtId="0" fontId="6" fillId="2" borderId="0" applyAlignment="1" pivotButton="0" quotePrefix="0" xfId="0">
      <alignment horizontal="left" vertical="center" wrapText="1"/>
    </xf>
    <xf numFmtId="0" fontId="7" fillId="2" borderId="1" applyAlignment="1" pivotButton="0" quotePrefix="0" xfId="0">
      <alignment horizontal="center" vertical="center" wrapText="1"/>
    </xf>
    <xf numFmtId="3"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6" fillId="2" borderId="0" applyAlignment="1" pivotButton="0" quotePrefix="0" xfId="0">
      <alignment horizontal="left" vertical="center"/>
    </xf>
    <xf numFmtId="0" fontId="2" fillId="3" borderId="6" applyAlignment="1" pivotButton="0" quotePrefix="0" xfId="0">
      <alignment horizontal="center" vertical="center" wrapText="1"/>
    </xf>
    <xf numFmtId="0" fontId="0" fillId="3" borderId="6" pivotButton="0" quotePrefix="0" xfId="0"/>
    <xf numFmtId="168" fontId="8" fillId="3" borderId="6" applyAlignment="1" pivotButton="0" quotePrefix="0" xfId="0">
      <alignment horizontal="center" vertical="center" wrapText="1"/>
    </xf>
    <xf numFmtId="3" fontId="8" fillId="3" borderId="6" applyAlignment="1" pivotButton="0" quotePrefix="0" xfId="0">
      <alignment horizontal="center" vertical="center" wrapText="1"/>
    </xf>
    <xf numFmtId="167" fontId="8" fillId="3" borderId="6" applyAlignment="1" pivotButton="0" quotePrefix="0" xfId="0">
      <alignment horizontal="center" vertical="center" wrapText="1"/>
    </xf>
    <xf numFmtId="0" fontId="3" fillId="0" borderId="0" applyAlignment="1" pivotButton="0" quotePrefix="0" xfId="0">
      <alignment horizontal="left" vertical="center"/>
    </xf>
    <xf numFmtId="0" fontId="2" fillId="0" borderId="0" pivotButton="0" quotePrefix="0" xfId="0"/>
    <xf numFmtId="3" fontId="7" fillId="2" borderId="1" applyAlignment="1" pivotButton="0" quotePrefix="0" xfId="0">
      <alignment horizontal="center" vertical="center" wrapText="1"/>
    </xf>
    <xf numFmtId="165" fontId="7" fillId="2" borderId="1" applyAlignment="1" pivotButton="0" quotePrefix="0" xfId="0">
      <alignment horizontal="center" vertical="center" wrapText="1"/>
    </xf>
    <xf numFmtId="0" fontId="5" fillId="0" borderId="1" applyAlignment="1" pivotButton="0" quotePrefix="0" xfId="0">
      <alignment horizontal="left" vertical="top" wrapText="1"/>
    </xf>
  </cellXfs>
  <cellStyles count="1">
    <cellStyle name="Normal" xfId="0" builtinId="0" hidden="0"/>
  </cellStyles>
  <dxfs count="5">
    <dxf>
      <fill>
        <patternFill patternType="solid">
          <fgColor rgb="0070AD47"/>
          <bgColor rgb="0070AD47"/>
        </patternFill>
      </fill>
    </dxf>
    <dxf>
      <fill>
        <patternFill patternType="solid">
          <fgColor rgb="00C00000"/>
          <bgColor rgb="00C00000"/>
        </patternFill>
      </fill>
    </dxf>
    <dxf>
      <fill>
        <patternFill patternType="solid">
          <fgColor rgb="00FFC000"/>
          <bgColor rgb="00FFC000"/>
        </patternFill>
      </fill>
    </dxf>
    <dxf>
      <fill>
        <patternFill patternType="solid">
          <fgColor rgb="00ED7D31"/>
          <bgColor rgb="00ED7D31"/>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10"/>
  <chart>
    <title>
      <tx>
        <rich>
          <a:bodyPr/>
          <a:p>
            <a:r>
              <a:t>Inventory Value by Location</a:t>
            </a:r>
          </a:p>
        </rich>
      </tx>
    </title>
    <plotArea>
      <barChart>
        <barDir val="col"/>
        <grouping val="clustered"/>
        <ser>
          <idx val="0"/>
          <order val="0"/>
          <tx>
            <strRef>
              <f>'Inventory Dashboard'!B10</f>
            </strRef>
          </tx>
          <spPr>
            <a:ln>
              <a:prstDash val="solid"/>
            </a:ln>
          </spPr>
          <cat>
            <numRef>
              <f>'Inventory Dashboard'!$A$11:$A$21</f>
            </numRef>
          </cat>
          <val>
            <numRef>
              <f>'Inventory Dashboard'!$B$11:$B$21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Value ($)</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r>
              <a:t>Inventory Status Breakdown</a:t>
            </a:r>
          </a:p>
        </rich>
      </tx>
    </title>
    <plotArea>
      <pieChart>
        <varyColors val="1"/>
        <ser>
          <idx val="0"/>
          <order val="0"/>
          <tx>
            <strRef>
              <f>'Inventory Dashboard'!B25</f>
            </strRef>
          </tx>
          <spPr>
            <a:ln>
              <a:prstDash val="solid"/>
            </a:ln>
          </spPr>
          <cat>
            <numRef>
              <f>'Inventory Dashboard'!$A$26:$A$31</f>
            </numRef>
          </cat>
          <val>
            <numRef>
              <f>'Inventory Dashboard'!$B$26:$B$31</f>
            </numRef>
          </val>
        </ser>
        <dLbls>
          <showVal val="0"/>
          <showCatName val="0"/>
          <showPercent val="1"/>
        </dLbls>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r>
              <a:t>Aging Bucket Summary</a:t>
            </a:r>
          </a:p>
        </rich>
      </tx>
    </title>
    <plotArea>
      <barChart>
        <barDir val="col"/>
        <grouping val="clustered"/>
        <ser>
          <idx val="0"/>
          <order val="0"/>
          <tx>
            <strRef>
              <f>'Inventory Dashboard'!C35</f>
            </strRef>
          </tx>
          <spPr>
            <a:ln>
              <a:prstDash val="solid"/>
            </a:ln>
          </spPr>
          <cat>
            <numRef>
              <f>'Inventory Dashboard'!$A$36:$A$39</f>
            </numRef>
          </cat>
          <val>
            <numRef>
              <f>'Inventory Dashboard'!$C$36:$C$39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Inventory Value ($)</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r>
              <a:t>Top 10 Excess Inventory Items</a:t>
            </a:r>
          </a:p>
        </rich>
      </tx>
    </title>
    <plotArea>
      <barChart>
        <barDir val="col"/>
        <grouping val="clustered"/>
        <ser>
          <idx val="0"/>
          <order val="0"/>
          <tx>
            <strRef>
              <f>'Inventory Dashboard'!E53</f>
            </strRef>
          </tx>
          <spPr>
            <a:ln>
              <a:prstDash val="solid"/>
            </a:ln>
          </spPr>
          <cat>
            <numRef>
              <f>'Inventory Dashboard'!$A$54:$A$63</f>
            </numRef>
          </cat>
          <val>
            <numRef>
              <f>'Inventory Dashboard'!$E$54:$E$63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Excess Value ($)</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9</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25</row>
      <rowOff>0</rowOff>
    </from>
    <ext cx="5040000" cy="360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41</row>
      <rowOff>0</rowOff>
    </from>
    <ext cx="5760000" cy="360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57</row>
      <rowOff>0</rowOff>
    </from>
    <ext cx="5760000" cy="360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MasterInventoryTable" displayName="MasterInventoryTable" ref="A2:V122" headerRowCount="1">
  <autoFilter ref="A2:V122"/>
  <tableColumns count="22">
    <tableColumn id="1" name="Item ID"/>
    <tableColumn id="2" name="SKU"/>
    <tableColumn id="3" name="Product Name"/>
    <tableColumn id="4" name="Category"/>
    <tableColumn id="5" name="Subcategory"/>
    <tableColumn id="6" name="Location"/>
    <tableColumn id="7" name="Location Type"/>
    <tableColumn id="8" name="Region"/>
    <tableColumn id="9" name="Quantity On Hand"/>
    <tableColumn id="10" name="Min Stock"/>
    <tableColumn id="11" name="Max Stock"/>
    <tableColumn id="12" name="Unit Cost"/>
    <tableColumn id="13" name="Selling Price"/>
    <tableColumn id="14" name="Total Value"/>
    <tableColumn id="15" name="Last Movement Date"/>
    <tableColumn id="16" name="Last Sale Date"/>
    <tableColumn id="17" name="Age Days"/>
    <tableColumn id="18" name="90 Day Demand"/>
    <tableColumn id="19" name="Sell Through Rate"/>
    <tableColumn id="20" name="Gross Margin %"/>
    <tableColumn id="21" name="Status"/>
    <tableColumn id="22" name="Recommended Action"/>
  </tableColumns>
  <tableStyleInfo name="TableStyleMedium2" showFirstColumn="0" showLastColumn="0" showRowStripes="1" showColumnStripes="0"/>
</table>
</file>

<file path=xl/tables/table2.xml><?xml version="1.0" encoding="utf-8"?>
<table xmlns="http://schemas.openxmlformats.org/spreadsheetml/2006/main" id="2" name="AgedExcessTable" displayName="AgedExcessTable" ref="A2:N83" headerRowCount="1">
  <autoFilter ref="A2:N83"/>
  <tableColumns count="14">
    <tableColumn id="1" name="SKU"/>
    <tableColumn id="2" name="Product Name"/>
    <tableColumn id="3" name="Location"/>
    <tableColumn id="4" name="Quantity On Hand"/>
    <tableColumn id="5" name="Max Stock"/>
    <tableColumn id="6" name="Excess Quantity"/>
    <tableColumn id="7" name="Age Days"/>
    <tableColumn id="8" name="90 Day Demand"/>
    <tableColumn id="9" name="Sell Through Rate"/>
    <tableColumn id="10" name="Inventory Value"/>
    <tableColumn id="11" name="Risk Level"/>
    <tableColumn id="12" name="Issue Type"/>
    <tableColumn id="13" name="Recommended Action"/>
    <tableColumn id="14" name="Analyst Notes"/>
  </tableColumns>
  <tableStyleInfo name="TableStyleMedium2" showFirstColumn="0" showLastColumn="0" showRowStripes="1" showColumnStripes="0"/>
</table>
</file>

<file path=xl/tables/table3.xml><?xml version="1.0" encoding="utf-8"?>
<table xmlns="http://schemas.openxmlformats.org/spreadsheetml/2006/main" id="3" name="MarkdownPlannerTable" displayName="MarkdownPlannerTable" ref="A2:O62" headerRowCount="1">
  <autoFilter ref="A2:O62"/>
  <tableColumns count="15">
    <tableColumn id="1" name="SKU"/>
    <tableColumn id="2" name="Product Name"/>
    <tableColumn id="3" name="Location"/>
    <tableColumn id="4" name="Quantity On Hand"/>
    <tableColumn id="5" name="Unit Cost"/>
    <tableColumn id="6" name="Current Selling Price"/>
    <tableColumn id="7" name="Current Margin %"/>
    <tableColumn id="8" name="Age Days"/>
    <tableColumn id="9" name="Demand Trend"/>
    <tableColumn id="10" name="Suggested Markdown %"/>
    <tableColumn id="11" name="Markdown Price"/>
    <tableColumn id="12" name="Projected Sell Through %"/>
    <tableColumn id="13" name="Estimated Recovery Value"/>
    <tableColumn id="14" name="Margin Impact"/>
    <tableColumn id="15" name="Recommended Disposition"/>
  </tableColumns>
  <tableStyleInfo name="TableStyleMedium2" showFirstColumn="0" showLastColumn="0" showRowStripes="1" showColumnStripes="0"/>
</table>
</file>

<file path=xl/tables/table4.xml><?xml version="1.0" encoding="utf-8"?>
<table xmlns="http://schemas.openxmlformats.org/spreadsheetml/2006/main" id="4" name="TransferPlannerTable" displayName="TransferPlannerTable" ref="A2:N109" headerRowCount="1">
  <autoFilter ref="A2:N109"/>
  <tableColumns count="14">
    <tableColumn id="1" name="SKU"/>
    <tableColumn id="2" name="Product Name"/>
    <tableColumn id="3" name="Source Location"/>
    <tableColumn id="4" name="Destination Location"/>
    <tableColumn id="5" name="Source Quantity"/>
    <tableColumn id="6" name="Destination Quantity"/>
    <tableColumn id="7" name="Destination Min Stock"/>
    <tableColumn id="8" name="Destination Demand"/>
    <tableColumn id="9" name="Suggested Transfer Quantity"/>
    <tableColumn id="10" name="Unit Cost"/>
    <tableColumn id="11" name="Transfer Cost"/>
    <tableColumn id="12" name="Estimated Margin Protected"/>
    <tableColumn id="13" name="Net Benefit"/>
    <tableColumn id="14" name="Recommendation"/>
  </tableColumns>
  <tableStyleInfo name="TableStyleMedium2" showFirstColumn="0" showLastColumn="0" showRowStripes="1" showColumnStripes="0"/>
</table>
</file>

<file path=xl/tables/table5.xml><?xml version="1.0" encoding="utf-8"?>
<table xmlns="http://schemas.openxmlformats.org/spreadsheetml/2006/main" id="5" name="ITAssetRegisterTable" displayName="ITAssetRegisterTable" ref="A2:P122" headerRowCount="1">
  <autoFilter ref="A2:P122"/>
  <tableColumns count="16">
    <tableColumn id="1" name="Asset Tag"/>
    <tableColumn id="2" name="Serial Number"/>
    <tableColumn id="3" name="Device Type"/>
    <tableColumn id="4" name="Make"/>
    <tableColumn id="5" name="Model"/>
    <tableColumn id="6" name="Assigned User"/>
    <tableColumn id="7" name="Department"/>
    <tableColumn id="8" name="Location"/>
    <tableColumn id="9" name="Borough"/>
    <tableColumn id="10" name="Purchase Date"/>
    <tableColumn id="11" name="Warranty Expiration"/>
    <tableColumn id="12" name="Status"/>
    <tableColumn id="13" name="Condition"/>
    <tableColumn id="14" name="Last Audit Date"/>
    <tableColumn id="15" name="Lifecycle Stage"/>
    <tableColumn id="16" name="Notes"/>
  </tableColumns>
  <tableStyleInfo name="TableStyleMedium2" showFirstColumn="0" showLastColumn="0" showRowStripes="1" showColumnStripes="0"/>
</table>
</file>

<file path=xl/tables/table6.xml><?xml version="1.0" encoding="utf-8"?>
<table xmlns="http://schemas.openxmlformats.org/spreadsheetml/2006/main" id="6" name="AuditExceptionSummary" displayName="AuditExceptionSummary" ref="A7:B15" headerRowCount="1">
  <autoFilter ref="A7:B15"/>
  <tableColumns count="2">
    <tableColumn id="1" name="Exception Type"/>
    <tableColumn id="2" name="Count"/>
  </tableColumns>
  <tableStyleInfo name="TableStyleMedium2" showFirstColumn="0" showLastColumn="0" showRowStripes="1" showColumnStripes="0"/>
</table>
</file>

<file path=xl/tables/table7.xml><?xml version="1.0" encoding="utf-8"?>
<table xmlns="http://schemas.openxmlformats.org/spreadsheetml/2006/main" id="7" name="AuditSystemInventory" displayName="AuditSystemInventory" ref="A18:F36" headerRowCount="1">
  <autoFilter ref="A18:F36"/>
  <tableColumns count="6">
    <tableColumn id="1" name="Asset Tag"/>
    <tableColumn id="2" name="Serial Number"/>
    <tableColumn id="3" name="Device Type"/>
    <tableColumn id="4" name="Location"/>
    <tableColumn id="5" name="Assigned User"/>
    <tableColumn id="6" name="Status"/>
  </tableColumns>
  <tableStyleInfo name="TableStyleMedium2" showFirstColumn="0" showLastColumn="0" showRowStripes="1" showColumnStripes="0"/>
</table>
</file>

<file path=xl/tables/table8.xml><?xml version="1.0" encoding="utf-8"?>
<table xmlns="http://schemas.openxmlformats.org/spreadsheetml/2006/main" id="8" name="AuditPhysicalCount" displayName="AuditPhysicalCount" ref="A39:E58" headerRowCount="1">
  <autoFilter ref="A39:E58"/>
  <tableColumns count="5">
    <tableColumn id="1" name="Asset Tag"/>
    <tableColumn id="2" name="Serial Number"/>
    <tableColumn id="3" name="Location"/>
    <tableColumn id="4" name="Assigned User"/>
    <tableColumn id="5" name="Physical Status"/>
  </tableColumns>
  <tableStyleInfo name="TableStyleMedium2" showFirstColumn="0" showLastColumn="0" showRowStripes="1" showColumnStripes="0"/>
</table>
</file>

<file path=xl/tables/table9.xml><?xml version="1.0" encoding="utf-8"?>
<table xmlns="http://schemas.openxmlformats.org/spreadsheetml/2006/main" id="9" name="AuditExceptionsReport" displayName="AuditExceptionsReport" ref="A61:J179" headerRowCount="1">
  <autoFilter ref="A61:J179"/>
  <tableColumns count="10">
    <tableColumn id="1" name="Asset Tag"/>
    <tableColumn id="2" name="Serial Number"/>
    <tableColumn id="3" name="Expected Location"/>
    <tableColumn id="4" name="Actual Location"/>
    <tableColumn id="5" name="Expected User"/>
    <tableColumn id="6" name="Actual User"/>
    <tableColumn id="7" name="Exception Type"/>
    <tableColumn id="8" name="Priority"/>
    <tableColumn id="9" name="Follow-Up Owner"/>
    <tableColumn id="10" name="Resolution Status"/>
  </tableColumns>
  <tableStyleInfo name="TableStyleMedium2" showFirstColumn="0" showLastColumn="0" showRowStripes="1" showColumnStripes="0"/>
</table>
</file>

<file path=xl/tables/table10.xml><?xml version="1.0" encoding="utf-8"?>
<table xmlns="http://schemas.openxmlformats.org/spreadsheetml/2006/main" id="10" name="SoftwareLicensesTable" displayName="SoftwareLicensesTable" ref="A6:L28" headerRowCount="1">
  <autoFilter ref="A6:L28"/>
  <tableColumns count="12">
    <tableColumn id="1" name="Software Name"/>
    <tableColumn id="2" name="Vendor"/>
    <tableColumn id="3" name="License Type"/>
    <tableColumn id="4" name="Purchased Licenses"/>
    <tableColumn id="5" name="Assigned Licenses"/>
    <tableColumn id="6" name="Available Licenses"/>
    <tableColumn id="7" name="Renewal Date"/>
    <tableColumn id="8" name="Days Until Renewal"/>
    <tableColumn id="9" name="Department"/>
    <tableColumn id="10" name="Owner"/>
    <tableColumn id="11" name="Annual Cost"/>
    <tableColumn id="12" name="Compliance Status"/>
  </tableColumns>
  <tableStyleInfo name="TableStyleMedium2" showFirstColumn="0" showLastColumn="0" showRowStripes="1" showColumnStripes="0"/>
</table>
</file>

<file path=xl/tables/table11.xml><?xml version="1.0" encoding="utf-8"?>
<table xmlns="http://schemas.openxmlformats.org/spreadsheetml/2006/main" id="11" name="MobileProvisioningTable" displayName="MobileProvisioningTable" ref="A6:O51" headerRowCount="1">
  <autoFilter ref="A6:O51"/>
  <tableColumns count="15">
    <tableColumn id="1" name="Employee Name"/>
    <tableColumn id="2" name="Department"/>
    <tableColumn id="3" name="Device Type"/>
    <tableColumn id="4" name="Asset Tag"/>
    <tableColumn id="5" name="IMEI"/>
    <tableColumn id="6" name="SIM Number"/>
    <tableColumn id="7" name="Phone Number"/>
    <tableColumn id="8" name="Carrier"/>
    <tableColumn id="9" name="MDM Enrolled"/>
    <tableColumn id="10" name="Security Configured"/>
    <tableColumn id="11" name="Required Apps Installed"/>
    <tableColumn id="12" name="User Agreement Signed"/>
    <tableColumn id="13" name="Date Issued"/>
    <tableColumn id="14" name="Return Date"/>
    <tableColumn id="15" name="Status"/>
  </tableColumns>
  <tableStyleInfo name="TableStyleMedium2" showFirstColumn="0" showLastColumn="0" showRowStripes="1" showColumnStripes="0"/>
</table>
</file>

<file path=xl/tables/table12.xml><?xml version="1.0" encoding="utf-8"?>
<table xmlns="http://schemas.openxmlformats.org/spreadsheetml/2006/main" id="12" name="DisposalLogTable" displayName="DisposalLogTable" ref="A6:N31" headerRowCount="1">
  <autoFilter ref="A6:N31"/>
  <tableColumns count="14">
    <tableColumn id="1" name="Asset Tag"/>
    <tableColumn id="2" name="Serial Number"/>
    <tableColumn id="3" name="Device Type"/>
    <tableColumn id="4" name="Assigned User"/>
    <tableColumn id="5" name="Return Date"/>
    <tableColumn id="6" name="Condition"/>
    <tableColumn id="7" name="Data Wipe Required"/>
    <tableColumn id="8" name="Data Wipe Completed"/>
    <tableColumn id="9" name="Wipe Method"/>
    <tableColumn id="10" name="Disposal Vendor"/>
    <tableColumn id="11" name="Certificate Received"/>
    <tableColumn id="12" name="Disposal Date"/>
    <tableColumn id="13" name="Approved By"/>
    <tableColumn id="14" name="Disposal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s>
</file>

<file path=xl/worksheets/_rels/sheet9.xml.rels><Relationships xmlns="http://schemas.openxmlformats.org/package/2006/relationships"><Relationship Type="http://schemas.openxmlformats.org/officeDocument/2006/relationships/table" Target="/xl/tables/table10.xml" Id="rId1" /></Relationships>
</file>

<file path=xl/worksheets/_rels/sheet10.xml.rels><Relationships xmlns="http://schemas.openxmlformats.org/package/2006/relationships"><Relationship Type="http://schemas.openxmlformats.org/officeDocument/2006/relationships/table" Target="/xl/tables/table11.xml" Id="rId1" /></Relationships>
</file>

<file path=xl/worksheets/_rels/sheet11.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4" customWidth="1" min="1" max="1"/>
    <col width="28" customWidth="1" min="2" max="2"/>
    <col width="28" customWidth="1" min="3" max="3"/>
    <col width="28" customWidth="1" min="4" max="4"/>
  </cols>
  <sheetData>
    <row r="1" ht="36" customHeight="1">
      <c r="A1" s="1" t="inlineStr">
        <is>
          <t>Inventory &amp; IT Asset Control Toolkit</t>
        </is>
      </c>
    </row>
    <row r="2" ht="22" customHeight="1">
      <c r="A2" s="2" t="inlineStr">
        <is>
          <t>Version: v1.0.0    |    Author: Daniel A. Cruz</t>
        </is>
      </c>
    </row>
    <row r="3" ht="28" customHeight="1">
      <c r="A3" s="3" t="inlineStr">
        <is>
          <t>Disclaimer: All data in this workbook is fictional sample data created for demonstration and interview purposes. No real company, customer, or employee information is represented.</t>
        </is>
      </c>
    </row>
    <row r="4" ht="8" customHeight="1"/>
    <row r="5" ht="22" customHeight="1">
      <c r="A5" s="4" t="inlineStr">
        <is>
          <t>Purpose of This Workbook</t>
        </is>
      </c>
      <c r="B5" s="5" t="n"/>
      <c r="C5" s="5" t="n"/>
      <c r="D5" s="6" t="n"/>
    </row>
    <row r="6" ht="56" customHeight="1">
      <c r="A6" s="7" t="inlineStr">
        <is>
          <t>This toolkit demonstrates a disciplined approach to inventory optimization and IT asset lifecycle control. It combines clean data capture, exception reporting, audit readiness, and management-level visibility in a single interview-ready workbook generated entirely from Python source code.</t>
        </is>
      </c>
    </row>
    <row r="7" ht="8" customHeight="1"/>
    <row r="8" ht="22" customHeight="1">
      <c r="A8" s="4" t="inlineStr">
        <is>
          <t>Mavis / Inventory Optimization Demo Path</t>
        </is>
      </c>
      <c r="B8" s="5" t="n"/>
      <c r="C8" s="5" t="n"/>
      <c r="D8" s="6" t="n"/>
    </row>
    <row r="9" ht="120" customHeight="1">
      <c r="A9" s="7" t="inlineStr">
        <is>
          <t>Recommended tab order:
1. Inventory Dashboard
2. Aged Excess Analysis
3. Transfer Planner
4. Markdown Planner
5. Management Summary
Suggested narrative:
"This section focuses on inventory optimization. The dashboard shows inventory value, aged stock, excess inventory, transfer candidates, markdown candidates, and estimated recovery value. From there, I drill into aged and excess inventory, evaluate whether a transfer should happen before markdown, and use the markdown planner to protect margin while exiting slow-moving inventory."</t>
        </is>
      </c>
    </row>
    <row r="10" ht="8" customHeight="1"/>
    <row r="11" ht="22" customHeight="1">
      <c r="A11" s="4" t="inlineStr">
        <is>
          <t>IT Inventory Control Demo Path</t>
        </is>
      </c>
      <c r="B11" s="5" t="n"/>
      <c r="C11" s="5" t="n"/>
      <c r="D11" s="6" t="n"/>
    </row>
    <row r="12" ht="120" customHeight="1">
      <c r="A12" s="7" t="inlineStr">
        <is>
          <t>Recommended tab order:
1. IT Asset Register
2. Audit Reconciliation
3. Software Licenses
4. Mobile Provisioning
5. Disposal Log
6. Management Summary
Suggested narrative:
"This section focuses on IT asset lifecycle control. The asset register tracks equipment from receipt through assignment, audit, return, repair, data wipe, and disposal. Audit reconciliation compares system inventory against physical audit results and flags exceptions. The license tracker and mobile provisioning tabs help standardize compliance and equipment control."</t>
        </is>
      </c>
    </row>
    <row r="13" ht="8" customHeight="1"/>
    <row r="14" ht="22" customHeight="1">
      <c r="A14" s="4" t="inlineStr">
        <is>
          <t>Key Capabilities</t>
        </is>
      </c>
      <c r="B14" s="5" t="n"/>
      <c r="C14" s="5" t="n"/>
      <c r="D14" s="6" t="n"/>
    </row>
    <row r="15" ht="160" customHeight="1">
      <c r="A15" s="7" t="inlineStr">
        <is>
          <t>Inventory &amp; Supply Chain
• Inventory health dashboards with KPI cards and charts
• Aged, excess, slow-moving, and obsolete stock analysis
• Transfer planning between locations to balance stock
• Markdown modeling to protect margin on end-of-life inventory
IT Asset Control
• Full lifecycle asset register from receipt through disposal
• Physical audit reconciliation with exception reporting
• Software license compliance and renewal risk tracking
• Mobile provisioning and recovery checklists
• Disposal log with data wipe and certificate tracking
Reporting
• Printable management summary for leadership review
• Conditional formatting to highlight operational risk
• Filterable tables, formulas, and professional styling throughout</t>
        </is>
      </c>
    </row>
    <row r="16" ht="8" customHeight="1"/>
    <row r="17" ht="22" customHeight="1">
      <c r="A17" s="4" t="inlineStr">
        <is>
          <t>Recommended Interview Talking Points</t>
        </is>
      </c>
      <c r="B17" s="5" t="n"/>
      <c r="C17" s="5" t="n"/>
      <c r="D17" s="6" t="n"/>
    </row>
    <row r="18" ht="150" customHeight="1">
      <c r="A18" s="7" t="inlineStr">
        <is>
          <t>Opening statement:
"I built this toolkit to demonstrate how I approach inventory and asset control: clean data capture, lifecycle tracking, exception reporting, audit readiness, and management visibility. The same disciplined process applies whether I am analyzing warehouse inventory, retail stock, IT assets, software licenses, or equipment lifecycle status."
Points to emphasize:
• Business rules drive status, recommended actions, and compliance flags
• Sample data is realistic but fictional — safe for live demo and portfolio review
• Workbook is regenerated from code — reproducible, auditable, and easy to extend
• Dashboards translate operational detail into decisions leaders can act on
• Exception tabs (aged inventory, audit gaps, license over-assignment) show proactive control
• Management Summary ties both use cases into a single leadership view</t>
        </is>
      </c>
    </row>
    <row r="19" ht="8" customHeight="1"/>
    <row r="20" ht="22" customHeight="1">
      <c r="A20" s="4" t="inlineStr">
        <is>
          <t>Workbook Navigation</t>
        </is>
      </c>
      <c r="B20" s="5" t="n"/>
      <c r="C20" s="5" t="n"/>
      <c r="D20" s="6" t="n"/>
    </row>
    <row r="21" ht="48" customHeight="1">
      <c r="A21" s="7" t="inlineStr">
        <is>
          <t>Use the sheet tabs at the bottom to move between modules. Start with the demo path that matches your interview focus, then close with Management Summary. All operational tabs include filterable headers — click the dropdown arrows to explore by status, location, or department.</t>
        </is>
      </c>
    </row>
  </sheetData>
  <mergeCells count="15">
    <mergeCell ref="A1:D1"/>
    <mergeCell ref="A5:D5"/>
    <mergeCell ref="A9:D9"/>
    <mergeCell ref="A17:D17"/>
    <mergeCell ref="A8:D8"/>
    <mergeCell ref="A18:D18"/>
    <mergeCell ref="A6:D6"/>
    <mergeCell ref="A12:D12"/>
    <mergeCell ref="A3:D3"/>
    <mergeCell ref="A20:D20"/>
    <mergeCell ref="A21:D21"/>
    <mergeCell ref="A15:D15"/>
    <mergeCell ref="A2:D2"/>
    <mergeCell ref="A11:D11"/>
    <mergeCell ref="A14:D14"/>
  </mergeCells>
  <printOptions horizontalCentered="1"/>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V122"/>
  <sheetViews>
    <sheetView showGridLines="0" workbookViewId="0">
      <pane ySplit="2" topLeftCell="A3" activePane="bottomLeft" state="frozen"/>
      <selection pane="bottomLeft" activeCell="A1" sqref="A1"/>
    </sheetView>
  </sheetViews>
  <sheetFormatPr baseColWidth="8" defaultRowHeight="15"/>
  <cols>
    <col width="42" customWidth="1" min="1" max="1"/>
    <col width="10" customWidth="1" min="2" max="2"/>
    <col width="31" customWidth="1" min="3" max="3"/>
    <col width="15" customWidth="1" min="4" max="4"/>
    <col width="14" customWidth="1" min="5" max="5"/>
    <col width="19" customWidth="1" min="6" max="6"/>
    <col width="21" customWidth="1" min="7" max="7"/>
    <col width="13" customWidth="1" min="8" max="8"/>
    <col width="18" customWidth="1" min="9" max="9"/>
    <col width="11" customWidth="1" min="10" max="10"/>
    <col width="11" customWidth="1" min="11" max="11"/>
    <col width="11" customWidth="1" min="12" max="12"/>
    <col width="15" customWidth="1" min="13" max="13"/>
    <col width="13" customWidth="1" min="14" max="14"/>
    <col width="20" customWidth="1" min="15" max="15"/>
    <col width="16" customWidth="1" min="16" max="16"/>
    <col width="10" customWidth="1" min="17" max="17"/>
    <col width="15" customWidth="1" min="18" max="18"/>
    <col width="19" customWidth="1" min="19" max="19"/>
    <col width="16" customWidth="1" min="20" max="20"/>
    <col width="15" customWidth="1" min="21" max="21"/>
    <col width="22" customWidth="1" min="22" max="22"/>
  </cols>
  <sheetData>
    <row r="1" ht="28" customHeight="1">
      <c r="A1" s="8" t="inlineStr">
        <is>
          <t>Master Inventory — 120 SKU-Location Records</t>
        </is>
      </c>
    </row>
    <row r="2" ht="22" customHeight="1">
      <c r="A2" s="9" t="inlineStr">
        <is>
          <t>Item ID</t>
        </is>
      </c>
      <c r="B2" s="9" t="inlineStr">
        <is>
          <t>SKU</t>
        </is>
      </c>
      <c r="C2" s="9" t="inlineStr">
        <is>
          <t>Product Name</t>
        </is>
      </c>
      <c r="D2" s="9" t="inlineStr">
        <is>
          <t>Category</t>
        </is>
      </c>
      <c r="E2" s="9" t="inlineStr">
        <is>
          <t>Subcategory</t>
        </is>
      </c>
      <c r="F2" s="9" t="inlineStr">
        <is>
          <t>Location</t>
        </is>
      </c>
      <c r="G2" s="9" t="inlineStr">
        <is>
          <t>Location Type</t>
        </is>
      </c>
      <c r="H2" s="9" t="inlineStr">
        <is>
          <t>Region</t>
        </is>
      </c>
      <c r="I2" s="9" t="inlineStr">
        <is>
          <t>Quantity On Hand</t>
        </is>
      </c>
      <c r="J2" s="9" t="inlineStr">
        <is>
          <t>Min Stock</t>
        </is>
      </c>
      <c r="K2" s="9" t="inlineStr">
        <is>
          <t>Max Stock</t>
        </is>
      </c>
      <c r="L2" s="9" t="inlineStr">
        <is>
          <t>Unit Cost</t>
        </is>
      </c>
      <c r="M2" s="9" t="inlineStr">
        <is>
          <t>Selling Price</t>
        </is>
      </c>
      <c r="N2" s="9" t="inlineStr">
        <is>
          <t>Total Value</t>
        </is>
      </c>
      <c r="O2" s="9" t="inlineStr">
        <is>
          <t>Last Movement Date</t>
        </is>
      </c>
      <c r="P2" s="9" t="inlineStr">
        <is>
          <t>Last Sale Date</t>
        </is>
      </c>
      <c r="Q2" s="9" t="inlineStr">
        <is>
          <t>Age Days</t>
        </is>
      </c>
      <c r="R2" s="9" t="inlineStr">
        <is>
          <t>90 Day Demand</t>
        </is>
      </c>
      <c r="S2" s="9" t="inlineStr">
        <is>
          <t>Sell Through Rate</t>
        </is>
      </c>
      <c r="T2" s="9" t="inlineStr">
        <is>
          <t>Gross Margin %</t>
        </is>
      </c>
      <c r="U2" s="9" t="inlineStr">
        <is>
          <t>Status</t>
        </is>
      </c>
      <c r="V2" s="9" t="inlineStr">
        <is>
          <t>Recommended Action</t>
        </is>
      </c>
    </row>
    <row r="3">
      <c r="A3" t="inlineStr">
        <is>
          <t>INV-00001</t>
        </is>
      </c>
      <c r="B3" t="inlineStr">
        <is>
          <t>T-1001</t>
        </is>
      </c>
      <c r="C3" t="inlineStr">
        <is>
          <t>Mavis Sport Grip 245/40R18</t>
        </is>
      </c>
      <c r="D3" t="inlineStr">
        <is>
          <t>Tires</t>
        </is>
      </c>
      <c r="E3" t="inlineStr">
        <is>
          <t>Performance</t>
        </is>
      </c>
      <c r="F3" t="inlineStr">
        <is>
          <t>DC-NJ</t>
        </is>
      </c>
      <c r="G3" t="inlineStr">
        <is>
          <t>Distribution Center</t>
        </is>
      </c>
      <c r="H3" t="inlineStr">
        <is>
          <t>Northeast</t>
        </is>
      </c>
      <c r="I3" s="10" t="n">
        <v>3</v>
      </c>
      <c r="J3" s="10" t="n">
        <v>12</v>
      </c>
      <c r="K3" s="10" t="n">
        <v>48</v>
      </c>
      <c r="L3" s="11" t="n">
        <v>127.91</v>
      </c>
      <c r="M3" s="11" t="n">
        <v>189.52</v>
      </c>
      <c r="N3" s="11" t="n">
        <v>383.73</v>
      </c>
      <c r="O3" s="12" t="n">
        <v>46179</v>
      </c>
      <c r="P3" s="12" t="n">
        <v>46185</v>
      </c>
      <c r="Q3" s="10" t="n">
        <v>25</v>
      </c>
      <c r="R3" s="10" t="n">
        <v>18</v>
      </c>
      <c r="S3" s="13" t="n">
        <v>0.8571</v>
      </c>
      <c r="T3" s="13" t="n">
        <v>0.3251</v>
      </c>
      <c r="U3" t="inlineStr">
        <is>
          <t>Stockout Risk</t>
        </is>
      </c>
      <c r="V3" t="inlineStr">
        <is>
          <t>Replenish</t>
        </is>
      </c>
    </row>
    <row r="4">
      <c r="A4" t="inlineStr">
        <is>
          <t>INV-00002</t>
        </is>
      </c>
      <c r="B4" t="inlineStr">
        <is>
          <t>T-1002</t>
        </is>
      </c>
      <c r="C4" t="inlineStr">
        <is>
          <t>Mavis SnowTrack 205/55R16</t>
        </is>
      </c>
      <c r="D4" t="inlineStr">
        <is>
          <t>Tires</t>
        </is>
      </c>
      <c r="E4" t="inlineStr">
        <is>
          <t>Winter</t>
        </is>
      </c>
      <c r="F4" t="inlineStr">
        <is>
          <t>DC-PA</t>
        </is>
      </c>
      <c r="G4" t="inlineStr">
        <is>
          <t>Distribution Center</t>
        </is>
      </c>
      <c r="H4" t="inlineStr">
        <is>
          <t>Northeast</t>
        </is>
      </c>
      <c r="I4" s="10" t="n">
        <v>22</v>
      </c>
      <c r="J4" s="10" t="n">
        <v>8</v>
      </c>
      <c r="K4" s="10" t="n">
        <v>40</v>
      </c>
      <c r="L4" s="11" t="n">
        <v>100.7</v>
      </c>
      <c r="M4" s="11" t="n">
        <v>138.79</v>
      </c>
      <c r="N4" s="11" t="n">
        <v>2215.4</v>
      </c>
      <c r="O4" s="12" t="n">
        <v>45794</v>
      </c>
      <c r="P4" s="12" t="n">
        <v>45806</v>
      </c>
      <c r="Q4" s="10" t="n">
        <v>410</v>
      </c>
      <c r="R4" s="10" t="n">
        <v>0</v>
      </c>
      <c r="S4" s="13" t="n">
        <v>0</v>
      </c>
      <c r="T4" s="13" t="n">
        <v>0.2744</v>
      </c>
      <c r="U4" t="inlineStr">
        <is>
          <t>Obsolete</t>
        </is>
      </c>
      <c r="V4" t="inlineStr">
        <is>
          <t>Liquidate</t>
        </is>
      </c>
    </row>
    <row r="5">
      <c r="A5" t="inlineStr">
        <is>
          <t>INV-00003</t>
        </is>
      </c>
      <c r="B5" t="inlineStr">
        <is>
          <t>T-1003</t>
        </is>
      </c>
      <c r="C5" t="inlineStr">
        <is>
          <t>Mavis Fleet HD 225/75R16</t>
        </is>
      </c>
      <c r="D5" t="inlineStr">
        <is>
          <t>Tires</t>
        </is>
      </c>
      <c r="E5" t="inlineStr">
        <is>
          <t>Commercial</t>
        </is>
      </c>
      <c r="F5" t="inlineStr">
        <is>
          <t>Store-Bronx</t>
        </is>
      </c>
      <c r="G5" t="inlineStr">
        <is>
          <t>Retail Store</t>
        </is>
      </c>
      <c r="H5" t="inlineStr">
        <is>
          <t>NYC Metro</t>
        </is>
      </c>
      <c r="I5" s="10" t="n">
        <v>85</v>
      </c>
      <c r="J5" s="10" t="n">
        <v>10</v>
      </c>
      <c r="K5" s="10" t="n">
        <v>35</v>
      </c>
      <c r="L5" s="11" t="n">
        <v>148.75</v>
      </c>
      <c r="M5" s="11" t="n">
        <v>234.78</v>
      </c>
      <c r="N5" s="11" t="n">
        <v>12643.75</v>
      </c>
      <c r="O5" s="12" t="n">
        <v>45959</v>
      </c>
      <c r="P5" s="12" t="n">
        <v>45969</v>
      </c>
      <c r="Q5" s="10" t="n">
        <v>245</v>
      </c>
      <c r="R5" s="10" t="n">
        <v>6</v>
      </c>
      <c r="S5" s="13" t="n">
        <v>0.0659</v>
      </c>
      <c r="T5" s="13" t="n">
        <v>0.3664</v>
      </c>
      <c r="U5" t="inlineStr">
        <is>
          <t>Excess / Aged</t>
        </is>
      </c>
      <c r="V5" t="inlineStr">
        <is>
          <t>Transfer or Markdown</t>
        </is>
      </c>
    </row>
    <row r="6">
      <c r="A6" t="inlineStr">
        <is>
          <t>INV-00004</t>
        </is>
      </c>
      <c r="B6" t="inlineStr">
        <is>
          <t>BP-1004</t>
        </is>
      </c>
      <c r="C6" t="inlineStr">
        <is>
          <t>Ceramic Brake Pad Set - Front</t>
        </is>
      </c>
      <c r="D6" t="inlineStr">
        <is>
          <t>Brake Parts</t>
        </is>
      </c>
      <c r="E6" t="inlineStr">
        <is>
          <t>Pads</t>
        </is>
      </c>
      <c r="F6" t="inlineStr">
        <is>
          <t>Store-Queens</t>
        </is>
      </c>
      <c r="G6" t="inlineStr">
        <is>
          <t>Retail Store</t>
        </is>
      </c>
      <c r="H6" t="inlineStr">
        <is>
          <t>NYC Metro</t>
        </is>
      </c>
      <c r="I6" s="10" t="n">
        <v>72</v>
      </c>
      <c r="J6" s="10" t="n">
        <v>10</v>
      </c>
      <c r="K6" s="10" t="n">
        <v>35</v>
      </c>
      <c r="L6" s="11" t="n">
        <v>32.98</v>
      </c>
      <c r="M6" s="11" t="n">
        <v>48.98</v>
      </c>
      <c r="N6" s="11" t="n">
        <v>2374.56</v>
      </c>
      <c r="O6" s="12" t="n">
        <v>46109</v>
      </c>
      <c r="P6" s="12" t="n">
        <v>46120</v>
      </c>
      <c r="Q6" s="10" t="n">
        <v>95</v>
      </c>
      <c r="R6" s="10" t="n">
        <v>14</v>
      </c>
      <c r="S6" s="13" t="n">
        <v>0.1628</v>
      </c>
      <c r="T6" s="13" t="n">
        <v>0.3267</v>
      </c>
      <c r="U6" t="inlineStr">
        <is>
          <t>Excess</t>
        </is>
      </c>
      <c r="V6" t="inlineStr">
        <is>
          <t>Review Transfer</t>
        </is>
      </c>
    </row>
    <row r="7">
      <c r="A7" t="inlineStr">
        <is>
          <t>INV-00005</t>
        </is>
      </c>
      <c r="B7" t="inlineStr">
        <is>
          <t>BP-1005</t>
        </is>
      </c>
      <c r="C7" t="inlineStr">
        <is>
          <t>Vented Brake Rotor 11.8in</t>
        </is>
      </c>
      <c r="D7" t="inlineStr">
        <is>
          <t>Brake Parts</t>
        </is>
      </c>
      <c r="E7" t="inlineStr">
        <is>
          <t>Rotors</t>
        </is>
      </c>
      <c r="F7" t="inlineStr">
        <is>
          <t>Store-Brooklyn</t>
        </is>
      </c>
      <c r="G7" t="inlineStr">
        <is>
          <t>Retail Store</t>
        </is>
      </c>
      <c r="H7" t="inlineStr">
        <is>
          <t>NYC Metro</t>
        </is>
      </c>
      <c r="I7" s="10" t="n">
        <v>28</v>
      </c>
      <c r="J7" s="10" t="n">
        <v>10</v>
      </c>
      <c r="K7" s="10" t="n">
        <v>40</v>
      </c>
      <c r="L7" s="11" t="n">
        <v>48.27</v>
      </c>
      <c r="M7" s="11" t="n">
        <v>78.58</v>
      </c>
      <c r="N7" s="11" t="n">
        <v>1351.56</v>
      </c>
      <c r="O7" s="12" t="n">
        <v>45994</v>
      </c>
      <c r="P7" s="12" t="n">
        <v>46005</v>
      </c>
      <c r="Q7" s="10" t="n">
        <v>210</v>
      </c>
      <c r="R7" s="10" t="n">
        <v>2</v>
      </c>
      <c r="S7" s="13" t="n">
        <v>0.0667</v>
      </c>
      <c r="T7" s="13" t="n">
        <v>0.3857</v>
      </c>
      <c r="U7" t="inlineStr">
        <is>
          <t>Slow-Moving</t>
        </is>
      </c>
      <c r="V7" t="inlineStr">
        <is>
          <t>Markdown Review</t>
        </is>
      </c>
    </row>
    <row r="8">
      <c r="A8" t="inlineStr">
        <is>
          <t>INV-00006</t>
        </is>
      </c>
      <c r="B8" t="inlineStr">
        <is>
          <t>BP-1006</t>
        </is>
      </c>
      <c r="C8" t="inlineStr">
        <is>
          <t>Reman Brake Caliper - Rear</t>
        </is>
      </c>
      <c r="D8" t="inlineStr">
        <is>
          <t>Brake Parts</t>
        </is>
      </c>
      <c r="E8" t="inlineStr">
        <is>
          <t>Calipers</t>
        </is>
      </c>
      <c r="F8" t="inlineStr">
        <is>
          <t>Store-Manhattan</t>
        </is>
      </c>
      <c r="G8" t="inlineStr">
        <is>
          <t>Retail Store</t>
        </is>
      </c>
      <c r="H8" t="inlineStr">
        <is>
          <t>NYC Metro</t>
        </is>
      </c>
      <c r="I8" s="10" t="n">
        <v>24</v>
      </c>
      <c r="J8" s="10" t="n">
        <v>10</v>
      </c>
      <c r="K8" s="10" t="n">
        <v>45</v>
      </c>
      <c r="L8" s="11" t="n">
        <v>74.84</v>
      </c>
      <c r="M8" s="11" t="n">
        <v>110.99</v>
      </c>
      <c r="N8" s="11" t="n">
        <v>1796.16</v>
      </c>
      <c r="O8" s="12" t="n">
        <v>46164</v>
      </c>
      <c r="P8" s="12" t="n">
        <v>46173</v>
      </c>
      <c r="Q8" s="10" t="n">
        <v>40</v>
      </c>
      <c r="R8" s="10" t="n">
        <v>22</v>
      </c>
      <c r="S8" s="13" t="n">
        <v>0.4783</v>
      </c>
      <c r="T8" s="13" t="n">
        <v>0.3257</v>
      </c>
      <c r="U8" t="inlineStr">
        <is>
          <t>Healthy</t>
        </is>
      </c>
      <c r="V8" t="inlineStr">
        <is>
          <t>Monitor</t>
        </is>
      </c>
    </row>
    <row r="9">
      <c r="A9" t="inlineStr">
        <is>
          <t>INV-00007</t>
        </is>
      </c>
      <c r="B9" t="inlineStr">
        <is>
          <t>F-1007</t>
        </is>
      </c>
      <c r="C9" t="inlineStr">
        <is>
          <t>Cabin Air Filter CF-1180</t>
        </is>
      </c>
      <c r="D9" t="inlineStr">
        <is>
          <t>Filters</t>
        </is>
      </c>
      <c r="E9" t="inlineStr">
        <is>
          <t>Cabin</t>
        </is>
      </c>
      <c r="F9" t="inlineStr">
        <is>
          <t>DC-PA</t>
        </is>
      </c>
      <c r="G9" t="inlineStr">
        <is>
          <t>Distribution Center</t>
        </is>
      </c>
      <c r="H9" t="inlineStr">
        <is>
          <t>Northeast</t>
        </is>
      </c>
      <c r="I9" s="10" t="n">
        <v>66</v>
      </c>
      <c r="J9" s="10" t="n">
        <v>9</v>
      </c>
      <c r="K9" s="10" t="n">
        <v>40</v>
      </c>
      <c r="L9" s="11" t="n">
        <v>16.72</v>
      </c>
      <c r="M9" s="11" t="n">
        <v>26.37</v>
      </c>
      <c r="N9" s="11" t="n">
        <v>1103.52</v>
      </c>
      <c r="O9" s="12" t="n">
        <v>46173</v>
      </c>
      <c r="P9" s="12" t="n">
        <v>46185</v>
      </c>
      <c r="Q9" s="10" t="n">
        <v>31</v>
      </c>
      <c r="R9" s="10" t="n">
        <v>30</v>
      </c>
      <c r="S9" s="13" t="n">
        <v>0.3125</v>
      </c>
      <c r="T9" s="13" t="n">
        <v>0.3659</v>
      </c>
      <c r="U9" t="inlineStr">
        <is>
          <t>Excess</t>
        </is>
      </c>
      <c r="V9" t="inlineStr">
        <is>
          <t>Review Transfer</t>
        </is>
      </c>
    </row>
    <row r="10">
      <c r="A10" t="inlineStr">
        <is>
          <t>INV-00008</t>
        </is>
      </c>
      <c r="B10" t="inlineStr">
        <is>
          <t>T-1008</t>
        </is>
      </c>
      <c r="C10" t="inlineStr">
        <is>
          <t>Impact Wrench 1/2in 20V</t>
        </is>
      </c>
      <c r="D10" t="inlineStr">
        <is>
          <t>Tools</t>
        </is>
      </c>
      <c r="E10" t="inlineStr">
        <is>
          <t>Power Tools</t>
        </is>
      </c>
      <c r="F10" t="inlineStr">
        <is>
          <t>Store-Bronx</t>
        </is>
      </c>
      <c r="G10" t="inlineStr">
        <is>
          <t>Retail Store</t>
        </is>
      </c>
      <c r="H10" t="inlineStr">
        <is>
          <t>NYC Metro</t>
        </is>
      </c>
      <c r="I10" s="10" t="n">
        <v>38</v>
      </c>
      <c r="J10" s="10" t="n">
        <v>8</v>
      </c>
      <c r="K10" s="10" t="n">
        <v>52</v>
      </c>
      <c r="L10" s="11" t="n">
        <v>192.92</v>
      </c>
      <c r="M10" s="11" t="n">
        <v>287.45</v>
      </c>
      <c r="N10" s="11" t="n">
        <v>7330.96</v>
      </c>
      <c r="O10" s="12" t="n">
        <v>45829</v>
      </c>
      <c r="P10" s="12" t="n">
        <v>45840</v>
      </c>
      <c r="Q10" s="10" t="n">
        <v>375</v>
      </c>
      <c r="R10" s="10" t="n">
        <v>23</v>
      </c>
      <c r="S10" s="13" t="n">
        <v>0.377</v>
      </c>
      <c r="T10" s="13" t="n">
        <v>0.3289</v>
      </c>
      <c r="U10" t="inlineStr">
        <is>
          <t>Healthy</t>
        </is>
      </c>
      <c r="V10" t="inlineStr">
        <is>
          <t>Monitor</t>
        </is>
      </c>
    </row>
    <row r="11">
      <c r="A11" t="inlineStr">
        <is>
          <t>INV-00009</t>
        </is>
      </c>
      <c r="B11" t="inlineStr">
        <is>
          <t>F-1009</t>
        </is>
      </c>
      <c r="C11" t="inlineStr">
        <is>
          <t>Inline Fuel Filter FF-330</t>
        </is>
      </c>
      <c r="D11" t="inlineStr">
        <is>
          <t>Filters</t>
        </is>
      </c>
      <c r="E11" t="inlineStr">
        <is>
          <t>Fuel</t>
        </is>
      </c>
      <c r="F11" t="inlineStr">
        <is>
          <t>DC-NY</t>
        </is>
      </c>
      <c r="G11" t="inlineStr">
        <is>
          <t>Distribution Center</t>
        </is>
      </c>
      <c r="H11" t="inlineStr">
        <is>
          <t>Northeast</t>
        </is>
      </c>
      <c r="I11" s="10" t="n">
        <v>51</v>
      </c>
      <c r="J11" s="10" t="n">
        <v>15</v>
      </c>
      <c r="K11" s="10" t="n">
        <v>34</v>
      </c>
      <c r="L11" s="11" t="n">
        <v>12.46</v>
      </c>
      <c r="M11" s="11" t="n">
        <v>18.04</v>
      </c>
      <c r="N11" s="11" t="n">
        <v>635.46</v>
      </c>
      <c r="O11" s="12" t="n">
        <v>45916</v>
      </c>
      <c r="P11" s="12" t="n">
        <v>45927</v>
      </c>
      <c r="Q11" s="10" t="n">
        <v>288</v>
      </c>
      <c r="R11" s="10" t="n">
        <v>32</v>
      </c>
      <c r="S11" s="13" t="n">
        <v>0.3855</v>
      </c>
      <c r="T11" s="13" t="n">
        <v>0.3093</v>
      </c>
      <c r="U11" t="inlineStr">
        <is>
          <t>Excess / Aged</t>
        </is>
      </c>
      <c r="V11" t="inlineStr">
        <is>
          <t>Transfer or Markdown</t>
        </is>
      </c>
    </row>
    <row r="12">
      <c r="A12" t="inlineStr">
        <is>
          <t>INV-00010</t>
        </is>
      </c>
      <c r="B12" t="inlineStr">
        <is>
          <t>A-1010</t>
        </is>
      </c>
      <c r="C12" t="inlineStr">
        <is>
          <t>Beam Wiper Blade 22in</t>
        </is>
      </c>
      <c r="D12" t="inlineStr">
        <is>
          <t>Accessories</t>
        </is>
      </c>
      <c r="E12" t="inlineStr">
        <is>
          <t>Wipers</t>
        </is>
      </c>
      <c r="F12" t="inlineStr">
        <is>
          <t>Store-Queens</t>
        </is>
      </c>
      <c r="G12" t="inlineStr">
        <is>
          <t>Retail Store</t>
        </is>
      </c>
      <c r="H12" t="inlineStr">
        <is>
          <t>NYC Metro</t>
        </is>
      </c>
      <c r="I12" s="10" t="n">
        <v>57</v>
      </c>
      <c r="J12" s="10" t="n">
        <v>8</v>
      </c>
      <c r="K12" s="10" t="n">
        <v>37</v>
      </c>
      <c r="L12" s="11" t="n">
        <v>19.94</v>
      </c>
      <c r="M12" s="11" t="n">
        <v>28.28</v>
      </c>
      <c r="N12" s="11" t="n">
        <v>1136.58</v>
      </c>
      <c r="O12" s="12" t="n">
        <v>46121</v>
      </c>
      <c r="P12" s="12" t="n">
        <v>46122</v>
      </c>
      <c r="Q12" s="10" t="n">
        <v>83</v>
      </c>
      <c r="R12" s="10" t="n">
        <v>16</v>
      </c>
      <c r="S12" s="13" t="n">
        <v>0.2192</v>
      </c>
      <c r="T12" s="13" t="n">
        <v>0.2949</v>
      </c>
      <c r="U12" t="inlineStr">
        <is>
          <t>Excess</t>
        </is>
      </c>
      <c r="V12" t="inlineStr">
        <is>
          <t>Review Transfer</t>
        </is>
      </c>
    </row>
    <row r="13">
      <c r="A13" t="inlineStr">
        <is>
          <t>INV-00011</t>
        </is>
      </c>
      <c r="B13" t="inlineStr">
        <is>
          <t>F-1011</t>
        </is>
      </c>
      <c r="C13" t="inlineStr">
        <is>
          <t>DOT 4 Brake Fluid 12oz</t>
        </is>
      </c>
      <c r="D13" t="inlineStr">
        <is>
          <t>Fluids</t>
        </is>
      </c>
      <c r="E13" t="inlineStr">
        <is>
          <t>Brake Fluid</t>
        </is>
      </c>
      <c r="F13" t="inlineStr">
        <is>
          <t>Store-WhitePlains</t>
        </is>
      </c>
      <c r="G13" t="inlineStr">
        <is>
          <t>Retail Store</t>
        </is>
      </c>
      <c r="H13" t="inlineStr">
        <is>
          <t>NYC Metro</t>
        </is>
      </c>
      <c r="I13" s="10" t="n">
        <v>13</v>
      </c>
      <c r="J13" s="10" t="n">
        <v>20</v>
      </c>
      <c r="K13" s="10" t="n">
        <v>48</v>
      </c>
      <c r="L13" s="11" t="n">
        <v>6.13</v>
      </c>
      <c r="M13" s="11" t="n">
        <v>9.81</v>
      </c>
      <c r="N13" s="11" t="n">
        <v>79.69</v>
      </c>
      <c r="O13" s="12" t="n">
        <v>45854</v>
      </c>
      <c r="P13" s="12" t="n">
        <v>45864</v>
      </c>
      <c r="Q13" s="10" t="n">
        <v>350</v>
      </c>
      <c r="R13" s="10" t="n">
        <v>22</v>
      </c>
      <c r="S13" s="13" t="n">
        <v>0.6286</v>
      </c>
      <c r="T13" s="13" t="n">
        <v>0.3751</v>
      </c>
      <c r="U13" t="inlineStr">
        <is>
          <t>Stockout Risk</t>
        </is>
      </c>
      <c r="V13" t="inlineStr">
        <is>
          <t>Replenish</t>
        </is>
      </c>
    </row>
    <row r="14">
      <c r="A14" t="inlineStr">
        <is>
          <t>INV-00012</t>
        </is>
      </c>
      <c r="B14" t="inlineStr">
        <is>
          <t>F-1012</t>
        </is>
      </c>
      <c r="C14" t="inlineStr">
        <is>
          <t>Engine Air Filter AF-9921</t>
        </is>
      </c>
      <c r="D14" t="inlineStr">
        <is>
          <t>Filters</t>
        </is>
      </c>
      <c r="E14" t="inlineStr">
        <is>
          <t>Air</t>
        </is>
      </c>
      <c r="F14" t="inlineStr">
        <is>
          <t>Store-Yonkers</t>
        </is>
      </c>
      <c r="G14" t="inlineStr">
        <is>
          <t>Retail Store</t>
        </is>
      </c>
      <c r="H14" t="inlineStr">
        <is>
          <t>NYC Metro</t>
        </is>
      </c>
      <c r="I14" s="10" t="n">
        <v>70</v>
      </c>
      <c r="J14" s="10" t="n">
        <v>18</v>
      </c>
      <c r="K14" s="10" t="n">
        <v>44</v>
      </c>
      <c r="L14" s="11" t="n">
        <v>13.69</v>
      </c>
      <c r="M14" s="11" t="n">
        <v>19.3</v>
      </c>
      <c r="N14" s="11" t="n">
        <v>958.3</v>
      </c>
      <c r="O14" s="12" t="n">
        <v>46080</v>
      </c>
      <c r="P14" s="12" t="n">
        <v>46090</v>
      </c>
      <c r="Q14" s="10" t="n">
        <v>124</v>
      </c>
      <c r="R14" s="10" t="n">
        <v>8</v>
      </c>
      <c r="S14" s="13" t="n">
        <v>0.1026</v>
      </c>
      <c r="T14" s="13" t="n">
        <v>0.2907</v>
      </c>
      <c r="U14" t="inlineStr">
        <is>
          <t>Excess</t>
        </is>
      </c>
      <c r="V14" t="inlineStr">
        <is>
          <t>Review Transfer</t>
        </is>
      </c>
    </row>
    <row r="15">
      <c r="A15" t="inlineStr">
        <is>
          <t>INV-00013</t>
        </is>
      </c>
      <c r="B15" t="inlineStr">
        <is>
          <t>SS-1013</t>
        </is>
      </c>
      <c r="C15" t="inlineStr">
        <is>
          <t>Nitrile Gloves Box/100</t>
        </is>
      </c>
      <c r="D15" t="inlineStr">
        <is>
          <t>Shop Supplies</t>
        </is>
      </c>
      <c r="E15" t="inlineStr">
        <is>
          <t>Safety</t>
        </is>
      </c>
      <c r="F15" t="inlineStr">
        <is>
          <t>DC-NY</t>
        </is>
      </c>
      <c r="G15" t="inlineStr">
        <is>
          <t>Distribution Center</t>
        </is>
      </c>
      <c r="H15" t="inlineStr">
        <is>
          <t>Northeast</t>
        </is>
      </c>
      <c r="I15" s="10" t="n">
        <v>71</v>
      </c>
      <c r="J15" s="10" t="n">
        <v>18</v>
      </c>
      <c r="K15" s="10" t="n">
        <v>56</v>
      </c>
      <c r="L15" s="11" t="n">
        <v>19.28</v>
      </c>
      <c r="M15" s="11" t="n">
        <v>28.68</v>
      </c>
      <c r="N15" s="11" t="n">
        <v>1368.88</v>
      </c>
      <c r="O15" s="12" t="n">
        <v>45924</v>
      </c>
      <c r="P15" s="12" t="n">
        <v>45934</v>
      </c>
      <c r="Q15" s="10" t="n">
        <v>280</v>
      </c>
      <c r="R15" s="10" t="n">
        <v>16</v>
      </c>
      <c r="S15" s="13" t="n">
        <v>0.1839</v>
      </c>
      <c r="T15" s="13" t="n">
        <v>0.3278</v>
      </c>
      <c r="U15" t="inlineStr">
        <is>
          <t>Excess / Aged</t>
        </is>
      </c>
      <c r="V15" t="inlineStr">
        <is>
          <t>Transfer or Markdown</t>
        </is>
      </c>
    </row>
    <row r="16">
      <c r="A16" t="inlineStr">
        <is>
          <t>INV-00014</t>
        </is>
      </c>
      <c r="B16" t="inlineStr">
        <is>
          <t>F-1014</t>
        </is>
      </c>
      <c r="C16" t="inlineStr">
        <is>
          <t>Synthetic Motor Oil 5W-30 5qt</t>
        </is>
      </c>
      <c r="D16" t="inlineStr">
        <is>
          <t>Fluids</t>
        </is>
      </c>
      <c r="E16" t="inlineStr">
        <is>
          <t>Motor Oil</t>
        </is>
      </c>
      <c r="F16" t="inlineStr">
        <is>
          <t>Store-Manhattan</t>
        </is>
      </c>
      <c r="G16" t="inlineStr">
        <is>
          <t>Retail Store</t>
        </is>
      </c>
      <c r="H16" t="inlineStr">
        <is>
          <t>NYC Metro</t>
        </is>
      </c>
      <c r="I16" s="10" t="n">
        <v>15</v>
      </c>
      <c r="J16" s="10" t="n">
        <v>8</v>
      </c>
      <c r="K16" s="10" t="n">
        <v>27</v>
      </c>
      <c r="L16" s="11" t="n">
        <v>28.91</v>
      </c>
      <c r="M16" s="11" t="n">
        <v>43.93</v>
      </c>
      <c r="N16" s="11" t="n">
        <v>433.65</v>
      </c>
      <c r="O16" s="12" t="n">
        <v>46152</v>
      </c>
      <c r="P16" s="12" t="n">
        <v>46162</v>
      </c>
      <c r="Q16" s="10" t="n">
        <v>52</v>
      </c>
      <c r="R16" s="10" t="n">
        <v>15</v>
      </c>
      <c r="S16" s="13" t="n">
        <v>0.5</v>
      </c>
      <c r="T16" s="13" t="n">
        <v>0.3419</v>
      </c>
      <c r="U16" t="inlineStr">
        <is>
          <t>Healthy</t>
        </is>
      </c>
      <c r="V16" t="inlineStr">
        <is>
          <t>Monitor</t>
        </is>
      </c>
    </row>
    <row r="17">
      <c r="A17" t="inlineStr">
        <is>
          <t>INV-00015</t>
        </is>
      </c>
      <c r="B17" t="inlineStr">
        <is>
          <t>T-1015</t>
        </is>
      </c>
      <c r="C17" t="inlineStr">
        <is>
          <t>Mavis SnowTrack 205/55R16</t>
        </is>
      </c>
      <c r="D17" t="inlineStr">
        <is>
          <t>Tires</t>
        </is>
      </c>
      <c r="E17" t="inlineStr">
        <is>
          <t>Winter</t>
        </is>
      </c>
      <c r="F17" t="inlineStr">
        <is>
          <t>Store-Yonkers</t>
        </is>
      </c>
      <c r="G17" t="inlineStr">
        <is>
          <t>Retail Store</t>
        </is>
      </c>
      <c r="H17" t="inlineStr">
        <is>
          <t>NYC Metro</t>
        </is>
      </c>
      <c r="I17" s="10" t="n">
        <v>47</v>
      </c>
      <c r="J17" s="10" t="n">
        <v>15</v>
      </c>
      <c r="K17" s="10" t="n">
        <v>49</v>
      </c>
      <c r="L17" s="11" t="n">
        <v>96.81</v>
      </c>
      <c r="M17" s="11" t="n">
        <v>131.59</v>
      </c>
      <c r="N17" s="11" t="n">
        <v>4550.07</v>
      </c>
      <c r="O17" s="12" t="n">
        <v>45970</v>
      </c>
      <c r="P17" s="12" t="n">
        <v>45978</v>
      </c>
      <c r="Q17" s="10" t="n">
        <v>234</v>
      </c>
      <c r="R17" s="10" t="n">
        <v>3</v>
      </c>
      <c r="S17" s="13" t="n">
        <v>0.06</v>
      </c>
      <c r="T17" s="13" t="n">
        <v>0.2643</v>
      </c>
      <c r="U17" t="inlineStr">
        <is>
          <t>Slow-Moving</t>
        </is>
      </c>
      <c r="V17" t="inlineStr">
        <is>
          <t>Markdown Review</t>
        </is>
      </c>
    </row>
    <row r="18">
      <c r="A18" t="inlineStr">
        <is>
          <t>INV-00016</t>
        </is>
      </c>
      <c r="B18" t="inlineStr">
        <is>
          <t>B-1016</t>
        </is>
      </c>
      <c r="C18" t="inlineStr">
        <is>
          <t>Economy Battery 35R</t>
        </is>
      </c>
      <c r="D18" t="inlineStr">
        <is>
          <t>Batteries</t>
        </is>
      </c>
      <c r="E18" t="inlineStr">
        <is>
          <t>Standard</t>
        </is>
      </c>
      <c r="F18" t="inlineStr">
        <is>
          <t>Store-Queens</t>
        </is>
      </c>
      <c r="G18" t="inlineStr">
        <is>
          <t>Retail Store</t>
        </is>
      </c>
      <c r="H18" t="inlineStr">
        <is>
          <t>NYC Metro</t>
        </is>
      </c>
      <c r="I18" s="10" t="n">
        <v>21</v>
      </c>
      <c r="J18" s="10" t="n">
        <v>20</v>
      </c>
      <c r="K18" s="10" t="n">
        <v>41</v>
      </c>
      <c r="L18" s="11" t="n">
        <v>86.63</v>
      </c>
      <c r="M18" s="11" t="n">
        <v>118.47</v>
      </c>
      <c r="N18" s="11" t="n">
        <v>1819.23</v>
      </c>
      <c r="O18" s="12" t="n">
        <v>46030</v>
      </c>
      <c r="P18" s="12" t="n">
        <v>46042</v>
      </c>
      <c r="Q18" s="10" t="n">
        <v>174</v>
      </c>
      <c r="R18" s="10" t="n">
        <v>34</v>
      </c>
      <c r="S18" s="13" t="n">
        <v>0.6182</v>
      </c>
      <c r="T18" s="13" t="n">
        <v>0.2688</v>
      </c>
      <c r="U18" t="inlineStr">
        <is>
          <t>Healthy</t>
        </is>
      </c>
      <c r="V18" t="inlineStr">
        <is>
          <t>Monitor</t>
        </is>
      </c>
    </row>
    <row r="19">
      <c r="A19" t="inlineStr">
        <is>
          <t>INV-00017</t>
        </is>
      </c>
      <c r="B19" t="inlineStr">
        <is>
          <t>SS-1017</t>
        </is>
      </c>
      <c r="C19" t="inlineStr">
        <is>
          <t>Multi-Purpose Grease 14oz</t>
        </is>
      </c>
      <c r="D19" t="inlineStr">
        <is>
          <t>Shop Supplies</t>
        </is>
      </c>
      <c r="E19" t="inlineStr">
        <is>
          <t>Lubricants</t>
        </is>
      </c>
      <c r="F19" t="inlineStr">
        <is>
          <t>Store-Bronx</t>
        </is>
      </c>
      <c r="G19" t="inlineStr">
        <is>
          <t>Retail Store</t>
        </is>
      </c>
      <c r="H19" t="inlineStr">
        <is>
          <t>NYC Metro</t>
        </is>
      </c>
      <c r="I19" s="10" t="n">
        <v>33</v>
      </c>
      <c r="J19" s="10" t="n">
        <v>19</v>
      </c>
      <c r="K19" s="10" t="n">
        <v>42</v>
      </c>
      <c r="L19" s="11" t="n">
        <v>8.119999999999999</v>
      </c>
      <c r="M19" s="11" t="n">
        <v>12.58</v>
      </c>
      <c r="N19" s="11" t="n">
        <v>267.96</v>
      </c>
      <c r="O19" s="12" t="n">
        <v>45925</v>
      </c>
      <c r="P19" s="12" t="n">
        <v>45933</v>
      </c>
      <c r="Q19" s="10" t="n">
        <v>279</v>
      </c>
      <c r="R19" s="10" t="n">
        <v>4</v>
      </c>
      <c r="S19" s="13" t="n">
        <v>0.1081</v>
      </c>
      <c r="T19" s="13" t="n">
        <v>0.3545</v>
      </c>
      <c r="U19" t="inlineStr">
        <is>
          <t>Slow-Moving</t>
        </is>
      </c>
      <c r="V19" t="inlineStr">
        <is>
          <t>Markdown Review</t>
        </is>
      </c>
    </row>
    <row r="20">
      <c r="A20" t="inlineStr">
        <is>
          <t>INV-00018</t>
        </is>
      </c>
      <c r="B20" t="inlineStr">
        <is>
          <t>F-1018</t>
        </is>
      </c>
      <c r="C20" t="inlineStr">
        <is>
          <t>Engine Air Filter AF-9921</t>
        </is>
      </c>
      <c r="D20" t="inlineStr">
        <is>
          <t>Filters</t>
        </is>
      </c>
      <c r="E20" t="inlineStr">
        <is>
          <t>Air</t>
        </is>
      </c>
      <c r="F20" t="inlineStr">
        <is>
          <t>Store-Queens</t>
        </is>
      </c>
      <c r="G20" t="inlineStr">
        <is>
          <t>Retail Store</t>
        </is>
      </c>
      <c r="H20" t="inlineStr">
        <is>
          <t>NYC Metro</t>
        </is>
      </c>
      <c r="I20" s="10" t="n">
        <v>27</v>
      </c>
      <c r="J20" s="10" t="n">
        <v>13</v>
      </c>
      <c r="K20" s="10" t="n">
        <v>52</v>
      </c>
      <c r="L20" s="11" t="n">
        <v>13.62</v>
      </c>
      <c r="M20" s="11" t="n">
        <v>21.34</v>
      </c>
      <c r="N20" s="11" t="n">
        <v>367.74</v>
      </c>
      <c r="O20" s="12" t="n">
        <v>46130</v>
      </c>
      <c r="P20" s="12" t="n">
        <v>46130</v>
      </c>
      <c r="Q20" s="10" t="n">
        <v>74</v>
      </c>
      <c r="R20" s="10" t="n">
        <v>11</v>
      </c>
      <c r="S20" s="13" t="n">
        <v>0.2895</v>
      </c>
      <c r="T20" s="13" t="n">
        <v>0.3618</v>
      </c>
      <c r="U20" t="inlineStr">
        <is>
          <t>Healthy</t>
        </is>
      </c>
      <c r="V20" t="inlineStr">
        <is>
          <t>Monitor</t>
        </is>
      </c>
    </row>
    <row r="21">
      <c r="A21" t="inlineStr">
        <is>
          <t>INV-00019</t>
        </is>
      </c>
      <c r="B21" t="inlineStr">
        <is>
          <t>T-1019</t>
        </is>
      </c>
      <c r="C21" t="inlineStr">
        <is>
          <t>Impact Wrench 1/2in 20V</t>
        </is>
      </c>
      <c r="D21" t="inlineStr">
        <is>
          <t>Tools</t>
        </is>
      </c>
      <c r="E21" t="inlineStr">
        <is>
          <t>Power Tools</t>
        </is>
      </c>
      <c r="F21" t="inlineStr">
        <is>
          <t>Store-Brooklyn</t>
        </is>
      </c>
      <c r="G21" t="inlineStr">
        <is>
          <t>Retail Store</t>
        </is>
      </c>
      <c r="H21" t="inlineStr">
        <is>
          <t>NYC Metro</t>
        </is>
      </c>
      <c r="I21" s="10" t="n">
        <v>63</v>
      </c>
      <c r="J21" s="10" t="n">
        <v>17</v>
      </c>
      <c r="K21" s="10" t="n">
        <v>36</v>
      </c>
      <c r="L21" s="11" t="n">
        <v>202.91</v>
      </c>
      <c r="M21" s="11" t="n">
        <v>301.09</v>
      </c>
      <c r="N21" s="11" t="n">
        <v>12783.33</v>
      </c>
      <c r="O21" s="12" t="n">
        <v>45992</v>
      </c>
      <c r="P21" s="12" t="n">
        <v>45994</v>
      </c>
      <c r="Q21" s="10" t="n">
        <v>212</v>
      </c>
      <c r="R21" s="10" t="n">
        <v>32</v>
      </c>
      <c r="S21" s="13" t="n">
        <v>0.3368</v>
      </c>
      <c r="T21" s="13" t="n">
        <v>0.3261</v>
      </c>
      <c r="U21" t="inlineStr">
        <is>
          <t>Excess / Aged</t>
        </is>
      </c>
      <c r="V21" t="inlineStr">
        <is>
          <t>Transfer or Markdown</t>
        </is>
      </c>
    </row>
    <row r="22">
      <c r="A22" t="inlineStr">
        <is>
          <t>INV-00020</t>
        </is>
      </c>
      <c r="B22" t="inlineStr">
        <is>
          <t>BP-1020</t>
        </is>
      </c>
      <c r="C22" t="inlineStr">
        <is>
          <t>Vented Brake Rotor 11.8in</t>
        </is>
      </c>
      <c r="D22" t="inlineStr">
        <is>
          <t>Brake Parts</t>
        </is>
      </c>
      <c r="E22" t="inlineStr">
        <is>
          <t>Rotors</t>
        </is>
      </c>
      <c r="F22" t="inlineStr">
        <is>
          <t>Store-Queens</t>
        </is>
      </c>
      <c r="G22" t="inlineStr">
        <is>
          <t>Retail Store</t>
        </is>
      </c>
      <c r="H22" t="inlineStr">
        <is>
          <t>NYC Metro</t>
        </is>
      </c>
      <c r="I22" s="10" t="n">
        <v>47</v>
      </c>
      <c r="J22" s="10" t="n">
        <v>11</v>
      </c>
      <c r="K22" s="10" t="n">
        <v>35</v>
      </c>
      <c r="L22" s="11" t="n">
        <v>46.88</v>
      </c>
      <c r="M22" s="11" t="n">
        <v>64.95</v>
      </c>
      <c r="N22" s="11" t="n">
        <v>2203.36</v>
      </c>
      <c r="O22" s="12" t="n">
        <v>45938</v>
      </c>
      <c r="P22" s="12" t="n">
        <v>45943</v>
      </c>
      <c r="Q22" s="10" t="n">
        <v>266</v>
      </c>
      <c r="R22" s="10" t="n">
        <v>21</v>
      </c>
      <c r="S22" s="13" t="n">
        <v>0.3088</v>
      </c>
      <c r="T22" s="13" t="n">
        <v>0.2782</v>
      </c>
      <c r="U22" t="inlineStr">
        <is>
          <t>Excess / Aged</t>
        </is>
      </c>
      <c r="V22" t="inlineStr">
        <is>
          <t>Transfer or Markdown</t>
        </is>
      </c>
    </row>
    <row r="23">
      <c r="A23" t="inlineStr">
        <is>
          <t>INV-00021</t>
        </is>
      </c>
      <c r="B23" t="inlineStr">
        <is>
          <t>B-1021</t>
        </is>
      </c>
      <c r="C23" t="inlineStr">
        <is>
          <t>Deep Cycle Marine 27DC</t>
        </is>
      </c>
      <c r="D23" t="inlineStr">
        <is>
          <t>Batteries</t>
        </is>
      </c>
      <c r="E23" t="inlineStr">
        <is>
          <t>Marine</t>
        </is>
      </c>
      <c r="F23" t="inlineStr">
        <is>
          <t>Store-Stamford</t>
        </is>
      </c>
      <c r="G23" t="inlineStr">
        <is>
          <t>Retail Store</t>
        </is>
      </c>
      <c r="H23" t="inlineStr">
        <is>
          <t>Connecticut</t>
        </is>
      </c>
      <c r="I23" s="10" t="n">
        <v>44</v>
      </c>
      <c r="J23" s="10" t="n">
        <v>12</v>
      </c>
      <c r="K23" s="10" t="n">
        <v>54</v>
      </c>
      <c r="L23" s="11" t="n">
        <v>152.33</v>
      </c>
      <c r="M23" s="11" t="n">
        <v>241.23</v>
      </c>
      <c r="N23" s="11" t="n">
        <v>6702.52</v>
      </c>
      <c r="O23" s="12" t="n">
        <v>45909</v>
      </c>
      <c r="P23" s="12" t="n">
        <v>45912</v>
      </c>
      <c r="Q23" s="10" t="n">
        <v>295</v>
      </c>
      <c r="R23" s="10" t="n">
        <v>16</v>
      </c>
      <c r="S23" s="13" t="n">
        <v>0.2667</v>
      </c>
      <c r="T23" s="13" t="n">
        <v>0.3685</v>
      </c>
      <c r="U23" t="inlineStr">
        <is>
          <t>Healthy</t>
        </is>
      </c>
      <c r="V23" t="inlineStr">
        <is>
          <t>Monitor</t>
        </is>
      </c>
    </row>
    <row r="24">
      <c r="A24" t="inlineStr">
        <is>
          <t>INV-00022</t>
        </is>
      </c>
      <c r="B24" t="inlineStr">
        <is>
          <t>B-1022</t>
        </is>
      </c>
      <c r="C24" t="inlineStr">
        <is>
          <t>Mavis PowerStart 24F</t>
        </is>
      </c>
      <c r="D24" t="inlineStr">
        <is>
          <t>Batteries</t>
        </is>
      </c>
      <c r="E24" t="inlineStr">
        <is>
          <t>Automotive</t>
        </is>
      </c>
      <c r="F24" t="inlineStr">
        <is>
          <t>Store-WhitePlains</t>
        </is>
      </c>
      <c r="G24" t="inlineStr">
        <is>
          <t>Retail Store</t>
        </is>
      </c>
      <c r="H24" t="inlineStr">
        <is>
          <t>NYC Metro</t>
        </is>
      </c>
      <c r="I24" s="10" t="n">
        <v>59</v>
      </c>
      <c r="J24" s="10" t="n">
        <v>18</v>
      </c>
      <c r="K24" s="10" t="n">
        <v>46</v>
      </c>
      <c r="L24" s="11" t="n">
        <v>124.82</v>
      </c>
      <c r="M24" s="11" t="n">
        <v>185.57</v>
      </c>
      <c r="N24" s="11" t="n">
        <v>7364.38</v>
      </c>
      <c r="O24" s="12" t="n">
        <v>46087</v>
      </c>
      <c r="P24" s="12" t="n">
        <v>46088</v>
      </c>
      <c r="Q24" s="10" t="n">
        <v>117</v>
      </c>
      <c r="R24" s="10" t="n">
        <v>2</v>
      </c>
      <c r="S24" s="13" t="n">
        <v>0.0328</v>
      </c>
      <c r="T24" s="13" t="n">
        <v>0.3274</v>
      </c>
      <c r="U24" t="inlineStr">
        <is>
          <t>Excess</t>
        </is>
      </c>
      <c r="V24" t="inlineStr">
        <is>
          <t>Review Transfer</t>
        </is>
      </c>
    </row>
    <row r="25">
      <c r="A25" t="inlineStr">
        <is>
          <t>INV-00023</t>
        </is>
      </c>
      <c r="B25" t="inlineStr">
        <is>
          <t>T-1023</t>
        </is>
      </c>
      <c r="C25" t="inlineStr">
        <is>
          <t>Impact Wrench 1/2in 20V</t>
        </is>
      </c>
      <c r="D25" t="inlineStr">
        <is>
          <t>Tools</t>
        </is>
      </c>
      <c r="E25" t="inlineStr">
        <is>
          <t>Power Tools</t>
        </is>
      </c>
      <c r="F25" t="inlineStr">
        <is>
          <t>DC-PA</t>
        </is>
      </c>
      <c r="G25" t="inlineStr">
        <is>
          <t>Distribution Center</t>
        </is>
      </c>
      <c r="H25" t="inlineStr">
        <is>
          <t>Northeast</t>
        </is>
      </c>
      <c r="I25" s="10" t="n">
        <v>61</v>
      </c>
      <c r="J25" s="10" t="n">
        <v>17</v>
      </c>
      <c r="K25" s="10" t="n">
        <v>41</v>
      </c>
      <c r="L25" s="11" t="n">
        <v>206.1</v>
      </c>
      <c r="M25" s="11" t="n">
        <v>325.13</v>
      </c>
      <c r="N25" s="11" t="n">
        <v>12572.1</v>
      </c>
      <c r="O25" s="12" t="n">
        <v>45959</v>
      </c>
      <c r="P25" s="12" t="n">
        <v>45961</v>
      </c>
      <c r="Q25" s="10" t="n">
        <v>245</v>
      </c>
      <c r="R25" s="10" t="n">
        <v>19</v>
      </c>
      <c r="S25" s="13" t="n">
        <v>0.2375</v>
      </c>
      <c r="T25" s="13" t="n">
        <v>0.3661</v>
      </c>
      <c r="U25" t="inlineStr">
        <is>
          <t>Excess / Aged</t>
        </is>
      </c>
      <c r="V25" t="inlineStr">
        <is>
          <t>Transfer or Markdown</t>
        </is>
      </c>
    </row>
    <row r="26">
      <c r="A26" t="inlineStr">
        <is>
          <t>INV-00024</t>
        </is>
      </c>
      <c r="B26" t="inlineStr">
        <is>
          <t>F-1024</t>
        </is>
      </c>
      <c r="C26" t="inlineStr">
        <is>
          <t>Inline Fuel Filter FF-330</t>
        </is>
      </c>
      <c r="D26" t="inlineStr">
        <is>
          <t>Filters</t>
        </is>
      </c>
      <c r="E26" t="inlineStr">
        <is>
          <t>Fuel</t>
        </is>
      </c>
      <c r="F26" t="inlineStr">
        <is>
          <t>Store-WhitePlains</t>
        </is>
      </c>
      <c r="G26" t="inlineStr">
        <is>
          <t>Retail Store</t>
        </is>
      </c>
      <c r="H26" t="inlineStr">
        <is>
          <t>NYC Metro</t>
        </is>
      </c>
      <c r="I26" s="10" t="n">
        <v>24</v>
      </c>
      <c r="J26" s="10" t="n">
        <v>16</v>
      </c>
      <c r="K26" s="10" t="n">
        <v>43</v>
      </c>
      <c r="L26" s="11" t="n">
        <v>12.08</v>
      </c>
      <c r="M26" s="11" t="n">
        <v>16.61</v>
      </c>
      <c r="N26" s="11" t="n">
        <v>289.92</v>
      </c>
      <c r="O26" s="12" t="n">
        <v>45939</v>
      </c>
      <c r="P26" s="12" t="n">
        <v>45947</v>
      </c>
      <c r="Q26" s="10" t="n">
        <v>265</v>
      </c>
      <c r="R26" s="10" t="n">
        <v>4</v>
      </c>
      <c r="S26" s="13" t="n">
        <v>0.1429</v>
      </c>
      <c r="T26" s="13" t="n">
        <v>0.2727</v>
      </c>
      <c r="U26" t="inlineStr">
        <is>
          <t>Slow-Moving</t>
        </is>
      </c>
      <c r="V26" t="inlineStr">
        <is>
          <t>Markdown Review</t>
        </is>
      </c>
    </row>
    <row r="27">
      <c r="A27" t="inlineStr">
        <is>
          <t>INV-00025</t>
        </is>
      </c>
      <c r="B27" t="inlineStr">
        <is>
          <t>SS-1025</t>
        </is>
      </c>
      <c r="C27" t="inlineStr">
        <is>
          <t>Brake Cleaner 19oz</t>
        </is>
      </c>
      <c r="D27" t="inlineStr">
        <is>
          <t>Shop Supplies</t>
        </is>
      </c>
      <c r="E27" t="inlineStr">
        <is>
          <t>Cleaning</t>
        </is>
      </c>
      <c r="F27" t="inlineStr">
        <is>
          <t>Store-Queens</t>
        </is>
      </c>
      <c r="G27" t="inlineStr">
        <is>
          <t>Retail Store</t>
        </is>
      </c>
      <c r="H27" t="inlineStr">
        <is>
          <t>NYC Metro</t>
        </is>
      </c>
      <c r="I27" s="10" t="n">
        <v>12</v>
      </c>
      <c r="J27" s="10" t="n">
        <v>18</v>
      </c>
      <c r="K27" s="10" t="n">
        <v>34</v>
      </c>
      <c r="L27" s="11" t="n">
        <v>5.3</v>
      </c>
      <c r="M27" s="11" t="n">
        <v>7.32</v>
      </c>
      <c r="N27" s="11" t="n">
        <v>63.6</v>
      </c>
      <c r="O27" s="12" t="n">
        <v>45994</v>
      </c>
      <c r="P27" s="12" t="n">
        <v>45998</v>
      </c>
      <c r="Q27" s="10" t="n">
        <v>210</v>
      </c>
      <c r="R27" s="10" t="n">
        <v>6</v>
      </c>
      <c r="S27" s="13" t="n">
        <v>0.3333</v>
      </c>
      <c r="T27" s="13" t="n">
        <v>0.276</v>
      </c>
      <c r="U27" t="inlineStr">
        <is>
          <t>Stockout Risk</t>
        </is>
      </c>
      <c r="V27" t="inlineStr">
        <is>
          <t>Replenish</t>
        </is>
      </c>
    </row>
    <row r="28">
      <c r="A28" t="inlineStr">
        <is>
          <t>INV-00026</t>
        </is>
      </c>
      <c r="B28" t="inlineStr">
        <is>
          <t>BP-1026</t>
        </is>
      </c>
      <c r="C28" t="inlineStr">
        <is>
          <t>Vented Brake Rotor 11.8in</t>
        </is>
      </c>
      <c r="D28" t="inlineStr">
        <is>
          <t>Brake Parts</t>
        </is>
      </c>
      <c r="E28" t="inlineStr">
        <is>
          <t>Rotors</t>
        </is>
      </c>
      <c r="F28" t="inlineStr">
        <is>
          <t>Store-Manhattan</t>
        </is>
      </c>
      <c r="G28" t="inlineStr">
        <is>
          <t>Retail Store</t>
        </is>
      </c>
      <c r="H28" t="inlineStr">
        <is>
          <t>NYC Metro</t>
        </is>
      </c>
      <c r="I28" s="10" t="n">
        <v>21</v>
      </c>
      <c r="J28" s="10" t="n">
        <v>18</v>
      </c>
      <c r="K28" s="10" t="n">
        <v>38</v>
      </c>
      <c r="L28" s="11" t="n">
        <v>48.15</v>
      </c>
      <c r="M28" s="11" t="n">
        <v>73.54000000000001</v>
      </c>
      <c r="N28" s="11" t="n">
        <v>1011.15</v>
      </c>
      <c r="O28" s="12" t="n">
        <v>45816</v>
      </c>
      <c r="P28" s="12" t="n">
        <v>45824</v>
      </c>
      <c r="Q28" s="10" t="n">
        <v>388</v>
      </c>
      <c r="R28" s="10" t="n">
        <v>34</v>
      </c>
      <c r="S28" s="13" t="n">
        <v>0.6182</v>
      </c>
      <c r="T28" s="13" t="n">
        <v>0.3453</v>
      </c>
      <c r="U28" t="inlineStr">
        <is>
          <t>Healthy</t>
        </is>
      </c>
      <c r="V28" t="inlineStr">
        <is>
          <t>Monitor</t>
        </is>
      </c>
    </row>
    <row r="29">
      <c r="A29" t="inlineStr">
        <is>
          <t>INV-00027</t>
        </is>
      </c>
      <c r="B29" t="inlineStr">
        <is>
          <t>B-1027</t>
        </is>
      </c>
      <c r="C29" t="inlineStr">
        <is>
          <t>Mavis AGM 47H6</t>
        </is>
      </c>
      <c r="D29" t="inlineStr">
        <is>
          <t>Batteries</t>
        </is>
      </c>
      <c r="E29" t="inlineStr">
        <is>
          <t>AGM</t>
        </is>
      </c>
      <c r="F29" t="inlineStr">
        <is>
          <t>DC-NY</t>
        </is>
      </c>
      <c r="G29" t="inlineStr">
        <is>
          <t>Distribution Center</t>
        </is>
      </c>
      <c r="H29" t="inlineStr">
        <is>
          <t>Northeast</t>
        </is>
      </c>
      <c r="I29" s="10" t="n">
        <v>36</v>
      </c>
      <c r="J29" s="10" t="n">
        <v>9</v>
      </c>
      <c r="K29" s="10" t="n">
        <v>52</v>
      </c>
      <c r="L29" s="11" t="n">
        <v>181.11</v>
      </c>
      <c r="M29" s="11" t="n">
        <v>270.94</v>
      </c>
      <c r="N29" s="11" t="n">
        <v>6519.96</v>
      </c>
      <c r="O29" s="12" t="n">
        <v>45999</v>
      </c>
      <c r="P29" s="12" t="n">
        <v>46010</v>
      </c>
      <c r="Q29" s="10" t="n">
        <v>205</v>
      </c>
      <c r="R29" s="10" t="n">
        <v>16</v>
      </c>
      <c r="S29" s="13" t="n">
        <v>0.3077</v>
      </c>
      <c r="T29" s="13" t="n">
        <v>0.3315</v>
      </c>
      <c r="U29" t="inlineStr">
        <is>
          <t>Healthy</t>
        </is>
      </c>
      <c r="V29" t="inlineStr">
        <is>
          <t>Monitor</t>
        </is>
      </c>
    </row>
    <row r="30">
      <c r="A30" t="inlineStr">
        <is>
          <t>INV-00028</t>
        </is>
      </c>
      <c r="B30" t="inlineStr">
        <is>
          <t>T-1028</t>
        </is>
      </c>
      <c r="C30" t="inlineStr">
        <is>
          <t>OBD-II Code Reader Pro</t>
        </is>
      </c>
      <c r="D30" t="inlineStr">
        <is>
          <t>Tools</t>
        </is>
      </c>
      <c r="E30" t="inlineStr">
        <is>
          <t>Diagnostic</t>
        </is>
      </c>
      <c r="F30" t="inlineStr">
        <is>
          <t>Store-Brooklyn</t>
        </is>
      </c>
      <c r="G30" t="inlineStr">
        <is>
          <t>Retail Store</t>
        </is>
      </c>
      <c r="H30" t="inlineStr">
        <is>
          <t>NYC Metro</t>
        </is>
      </c>
      <c r="I30" s="10" t="n">
        <v>14</v>
      </c>
      <c r="J30" s="10" t="n">
        <v>13</v>
      </c>
      <c r="K30" s="10" t="n">
        <v>56</v>
      </c>
      <c r="L30" s="11" t="n">
        <v>125.99</v>
      </c>
      <c r="M30" s="11" t="n">
        <v>182.62</v>
      </c>
      <c r="N30" s="11" t="n">
        <v>1763.86</v>
      </c>
      <c r="O30" s="12" t="n">
        <v>45962</v>
      </c>
      <c r="P30" s="12" t="n">
        <v>45969</v>
      </c>
      <c r="Q30" s="10" t="n">
        <v>242</v>
      </c>
      <c r="R30" s="10" t="n">
        <v>18</v>
      </c>
      <c r="S30" s="13" t="n">
        <v>0.5625</v>
      </c>
      <c r="T30" s="13" t="n">
        <v>0.3101</v>
      </c>
      <c r="U30" t="inlineStr">
        <is>
          <t>Healthy</t>
        </is>
      </c>
      <c r="V30" t="inlineStr">
        <is>
          <t>Monitor</t>
        </is>
      </c>
    </row>
    <row r="31">
      <c r="A31" t="inlineStr">
        <is>
          <t>INV-00029</t>
        </is>
      </c>
      <c r="B31" t="inlineStr">
        <is>
          <t>F-1029</t>
        </is>
      </c>
      <c r="C31" t="inlineStr">
        <is>
          <t>Extended Life Coolant 1gal</t>
        </is>
      </c>
      <c r="D31" t="inlineStr">
        <is>
          <t>Fluids</t>
        </is>
      </c>
      <c r="E31" t="inlineStr">
        <is>
          <t>Coolant</t>
        </is>
      </c>
      <c r="F31" t="inlineStr">
        <is>
          <t>Store-Brooklyn</t>
        </is>
      </c>
      <c r="G31" t="inlineStr">
        <is>
          <t>Retail Store</t>
        </is>
      </c>
      <c r="H31" t="inlineStr">
        <is>
          <t>NYC Metro</t>
        </is>
      </c>
      <c r="I31" s="10" t="n">
        <v>23</v>
      </c>
      <c r="J31" s="10" t="n">
        <v>19</v>
      </c>
      <c r="K31" s="10" t="n">
        <v>47</v>
      </c>
      <c r="L31" s="11" t="n">
        <v>19.23</v>
      </c>
      <c r="M31" s="11" t="n">
        <v>26.77</v>
      </c>
      <c r="N31" s="11" t="n">
        <v>442.29</v>
      </c>
      <c r="O31" s="12" t="n">
        <v>46191</v>
      </c>
      <c r="P31" s="12" t="n">
        <v>46202</v>
      </c>
      <c r="Q31" s="10" t="n">
        <v>13</v>
      </c>
      <c r="R31" s="10" t="n">
        <v>12</v>
      </c>
      <c r="S31" s="13" t="n">
        <v>0.3429</v>
      </c>
      <c r="T31" s="13" t="n">
        <v>0.2817</v>
      </c>
      <c r="U31" t="inlineStr">
        <is>
          <t>Healthy</t>
        </is>
      </c>
      <c r="V31" t="inlineStr">
        <is>
          <t>Monitor</t>
        </is>
      </c>
    </row>
    <row r="32">
      <c r="A32" t="inlineStr">
        <is>
          <t>INV-00030</t>
        </is>
      </c>
      <c r="B32" t="inlineStr">
        <is>
          <t>B-1030</t>
        </is>
      </c>
      <c r="C32" t="inlineStr">
        <is>
          <t>Mavis AGM 47H6</t>
        </is>
      </c>
      <c r="D32" t="inlineStr">
        <is>
          <t>Batteries</t>
        </is>
      </c>
      <c r="E32" t="inlineStr">
        <is>
          <t>AGM</t>
        </is>
      </c>
      <c r="F32" t="inlineStr">
        <is>
          <t>Store-Manhattan</t>
        </is>
      </c>
      <c r="G32" t="inlineStr">
        <is>
          <t>Retail Store</t>
        </is>
      </c>
      <c r="H32" t="inlineStr">
        <is>
          <t>NYC Metro</t>
        </is>
      </c>
      <c r="I32" s="10" t="n">
        <v>43</v>
      </c>
      <c r="J32" s="10" t="n">
        <v>12</v>
      </c>
      <c r="K32" s="10" t="n">
        <v>30</v>
      </c>
      <c r="L32" s="11" t="n">
        <v>192.01</v>
      </c>
      <c r="M32" s="11" t="n">
        <v>301.09</v>
      </c>
      <c r="N32" s="11" t="n">
        <v>8256.43</v>
      </c>
      <c r="O32" s="12" t="n">
        <v>45921</v>
      </c>
      <c r="P32" s="12" t="n">
        <v>45925</v>
      </c>
      <c r="Q32" s="10" t="n">
        <v>283</v>
      </c>
      <c r="R32" s="10" t="n">
        <v>4</v>
      </c>
      <c r="S32" s="13" t="n">
        <v>0.0851</v>
      </c>
      <c r="T32" s="13" t="n">
        <v>0.3623</v>
      </c>
      <c r="U32" t="inlineStr">
        <is>
          <t>Excess / Aged</t>
        </is>
      </c>
      <c r="V32" t="inlineStr">
        <is>
          <t>Transfer or Markdown</t>
        </is>
      </c>
    </row>
    <row r="33">
      <c r="A33" t="inlineStr">
        <is>
          <t>INV-00031</t>
        </is>
      </c>
      <c r="B33" t="inlineStr">
        <is>
          <t>A-1031</t>
        </is>
      </c>
      <c r="C33" t="inlineStr">
        <is>
          <t>LED Headlight Bulb H11 Pair</t>
        </is>
      </c>
      <c r="D33" t="inlineStr">
        <is>
          <t>Accessories</t>
        </is>
      </c>
      <c r="E33" t="inlineStr">
        <is>
          <t>Lighting</t>
        </is>
      </c>
      <c r="F33" t="inlineStr">
        <is>
          <t>Store-Yonkers</t>
        </is>
      </c>
      <c r="G33" t="inlineStr">
        <is>
          <t>Retail Store</t>
        </is>
      </c>
      <c r="H33" t="inlineStr">
        <is>
          <t>NYC Metro</t>
        </is>
      </c>
      <c r="I33" s="10" t="n">
        <v>39</v>
      </c>
      <c r="J33" s="10" t="n">
        <v>12</v>
      </c>
      <c r="K33" s="10" t="n">
        <v>30</v>
      </c>
      <c r="L33" s="11" t="n">
        <v>37.2</v>
      </c>
      <c r="M33" s="11" t="n">
        <v>56.41</v>
      </c>
      <c r="N33" s="11" t="n">
        <v>1450.8</v>
      </c>
      <c r="O33" s="12" t="n">
        <v>45819</v>
      </c>
      <c r="P33" s="12" t="n">
        <v>45822</v>
      </c>
      <c r="Q33" s="10" t="n">
        <v>385</v>
      </c>
      <c r="R33" s="10" t="n">
        <v>34</v>
      </c>
      <c r="S33" s="13" t="n">
        <v>0.4658</v>
      </c>
      <c r="T33" s="13" t="n">
        <v>0.3405</v>
      </c>
      <c r="U33" t="inlineStr">
        <is>
          <t>Excess / Aged</t>
        </is>
      </c>
      <c r="V33" t="inlineStr">
        <is>
          <t>Transfer or Markdown</t>
        </is>
      </c>
    </row>
    <row r="34">
      <c r="A34" t="inlineStr">
        <is>
          <t>INV-00032</t>
        </is>
      </c>
      <c r="B34" t="inlineStr">
        <is>
          <t>F-1032</t>
        </is>
      </c>
      <c r="C34" t="inlineStr">
        <is>
          <t>Extended Life Coolant 1gal</t>
        </is>
      </c>
      <c r="D34" t="inlineStr">
        <is>
          <t>Fluids</t>
        </is>
      </c>
      <c r="E34" t="inlineStr">
        <is>
          <t>Coolant</t>
        </is>
      </c>
      <c r="F34" t="inlineStr">
        <is>
          <t>Store-Queens</t>
        </is>
      </c>
      <c r="G34" t="inlineStr">
        <is>
          <t>Retail Store</t>
        </is>
      </c>
      <c r="H34" t="inlineStr">
        <is>
          <t>NYC Metro</t>
        </is>
      </c>
      <c r="I34" s="10" t="n">
        <v>39</v>
      </c>
      <c r="J34" s="10" t="n">
        <v>12</v>
      </c>
      <c r="K34" s="10" t="n">
        <v>51</v>
      </c>
      <c r="L34" s="11" t="n">
        <v>19.34</v>
      </c>
      <c r="M34" s="11" t="n">
        <v>27.8</v>
      </c>
      <c r="N34" s="11" t="n">
        <v>754.26</v>
      </c>
      <c r="O34" s="12" t="n">
        <v>45864</v>
      </c>
      <c r="P34" s="12" t="n">
        <v>45868</v>
      </c>
      <c r="Q34" s="10" t="n">
        <v>340</v>
      </c>
      <c r="R34" s="10" t="n">
        <v>33</v>
      </c>
      <c r="S34" s="13" t="n">
        <v>0.4583</v>
      </c>
      <c r="T34" s="13" t="n">
        <v>0.3043</v>
      </c>
      <c r="U34" t="inlineStr">
        <is>
          <t>Healthy</t>
        </is>
      </c>
      <c r="V34" t="inlineStr">
        <is>
          <t>Monitor</t>
        </is>
      </c>
    </row>
    <row r="35">
      <c r="A35" t="inlineStr">
        <is>
          <t>INV-00033</t>
        </is>
      </c>
      <c r="B35" t="inlineStr">
        <is>
          <t>F-1033</t>
        </is>
      </c>
      <c r="C35" t="inlineStr">
        <is>
          <t>ATF+4 Transmission Fluid 1qt</t>
        </is>
      </c>
      <c r="D35" t="inlineStr">
        <is>
          <t>Fluids</t>
        </is>
      </c>
      <c r="E35" t="inlineStr">
        <is>
          <t>Transmission</t>
        </is>
      </c>
      <c r="F35" t="inlineStr">
        <is>
          <t>Store-Brooklyn</t>
        </is>
      </c>
      <c r="G35" t="inlineStr">
        <is>
          <t>Retail Store</t>
        </is>
      </c>
      <c r="H35" t="inlineStr">
        <is>
          <t>NYC Metro</t>
        </is>
      </c>
      <c r="I35" s="10" t="n">
        <v>75</v>
      </c>
      <c r="J35" s="10" t="n">
        <v>19</v>
      </c>
      <c r="K35" s="10" t="n">
        <v>41</v>
      </c>
      <c r="L35" s="11" t="n">
        <v>9.35</v>
      </c>
      <c r="M35" s="11" t="n">
        <v>13.84</v>
      </c>
      <c r="N35" s="11" t="n">
        <v>701.25</v>
      </c>
      <c r="O35" s="12" t="n">
        <v>45811</v>
      </c>
      <c r="P35" s="12" t="n">
        <v>45813</v>
      </c>
      <c r="Q35" s="10" t="n">
        <v>393</v>
      </c>
      <c r="R35" s="10" t="n">
        <v>6</v>
      </c>
      <c r="S35" s="13" t="n">
        <v>0.0741</v>
      </c>
      <c r="T35" s="13" t="n">
        <v>0.3244</v>
      </c>
      <c r="U35" t="inlineStr">
        <is>
          <t>Excess / Aged</t>
        </is>
      </c>
      <c r="V35" t="inlineStr">
        <is>
          <t>Transfer or Markdown</t>
        </is>
      </c>
    </row>
    <row r="36">
      <c r="A36" t="inlineStr">
        <is>
          <t>INV-00034</t>
        </is>
      </c>
      <c r="B36" t="inlineStr">
        <is>
          <t>A-1034</t>
        </is>
      </c>
      <c r="C36" t="inlineStr">
        <is>
          <t>All-Weather Floor Mat Set</t>
        </is>
      </c>
      <c r="D36" t="inlineStr">
        <is>
          <t>Accessories</t>
        </is>
      </c>
      <c r="E36" t="inlineStr">
        <is>
          <t>Floor Mats</t>
        </is>
      </c>
      <c r="F36" t="inlineStr">
        <is>
          <t>Store-Stamford</t>
        </is>
      </c>
      <c r="G36" t="inlineStr">
        <is>
          <t>Retail Store</t>
        </is>
      </c>
      <c r="H36" t="inlineStr">
        <is>
          <t>Connecticut</t>
        </is>
      </c>
      <c r="I36" s="10" t="n">
        <v>7</v>
      </c>
      <c r="J36" s="10" t="n">
        <v>9</v>
      </c>
      <c r="K36" s="10" t="n">
        <v>50</v>
      </c>
      <c r="L36" s="11" t="n">
        <v>51.96</v>
      </c>
      <c r="M36" s="11" t="n">
        <v>78.23</v>
      </c>
      <c r="N36" s="11" t="n">
        <v>363.72</v>
      </c>
      <c r="O36" s="12" t="n">
        <v>45889</v>
      </c>
      <c r="P36" s="12" t="n">
        <v>45902</v>
      </c>
      <c r="Q36" s="10" t="n">
        <v>315</v>
      </c>
      <c r="R36" s="10" t="n">
        <v>29</v>
      </c>
      <c r="S36" s="13" t="n">
        <v>0.8056</v>
      </c>
      <c r="T36" s="13" t="n">
        <v>0.3358</v>
      </c>
      <c r="U36" t="inlineStr">
        <is>
          <t>Stockout Risk</t>
        </is>
      </c>
      <c r="V36" t="inlineStr">
        <is>
          <t>Replenish</t>
        </is>
      </c>
    </row>
    <row r="37">
      <c r="A37" t="inlineStr">
        <is>
          <t>INV-00035</t>
        </is>
      </c>
      <c r="B37" t="inlineStr">
        <is>
          <t>F-1035</t>
        </is>
      </c>
      <c r="C37" t="inlineStr">
        <is>
          <t>Inline Fuel Filter FF-330</t>
        </is>
      </c>
      <c r="D37" t="inlineStr">
        <is>
          <t>Filters</t>
        </is>
      </c>
      <c r="E37" t="inlineStr">
        <is>
          <t>Fuel</t>
        </is>
      </c>
      <c r="F37" t="inlineStr">
        <is>
          <t>Store-Bronx</t>
        </is>
      </c>
      <c r="G37" t="inlineStr">
        <is>
          <t>Retail Store</t>
        </is>
      </c>
      <c r="H37" t="inlineStr">
        <is>
          <t>NYC Metro</t>
        </is>
      </c>
      <c r="I37" s="10" t="n">
        <v>27</v>
      </c>
      <c r="J37" s="10" t="n">
        <v>8</v>
      </c>
      <c r="K37" s="10" t="n">
        <v>46</v>
      </c>
      <c r="L37" s="11" t="n">
        <v>11.42</v>
      </c>
      <c r="M37" s="11" t="n">
        <v>17.98</v>
      </c>
      <c r="N37" s="11" t="n">
        <v>308.34</v>
      </c>
      <c r="O37" s="12" t="n">
        <v>45925</v>
      </c>
      <c r="P37" s="12" t="n">
        <v>45930</v>
      </c>
      <c r="Q37" s="10" t="n">
        <v>279</v>
      </c>
      <c r="R37" s="10" t="n">
        <v>14</v>
      </c>
      <c r="S37" s="13" t="n">
        <v>0.3415</v>
      </c>
      <c r="T37" s="13" t="n">
        <v>0.3648</v>
      </c>
      <c r="U37" t="inlineStr">
        <is>
          <t>Healthy</t>
        </is>
      </c>
      <c r="V37" t="inlineStr">
        <is>
          <t>Monitor</t>
        </is>
      </c>
    </row>
    <row r="38">
      <c r="A38" t="inlineStr">
        <is>
          <t>INV-00036</t>
        </is>
      </c>
      <c r="B38" t="inlineStr">
        <is>
          <t>F-1036</t>
        </is>
      </c>
      <c r="C38" t="inlineStr">
        <is>
          <t>Premium Oil Filter PF-2234</t>
        </is>
      </c>
      <c r="D38" t="inlineStr">
        <is>
          <t>Filters</t>
        </is>
      </c>
      <c r="E38" t="inlineStr">
        <is>
          <t>Oil</t>
        </is>
      </c>
      <c r="F38" t="inlineStr">
        <is>
          <t>DC-PA</t>
        </is>
      </c>
      <c r="G38" t="inlineStr">
        <is>
          <t>Distribution Center</t>
        </is>
      </c>
      <c r="H38" t="inlineStr">
        <is>
          <t>Northeast</t>
        </is>
      </c>
      <c r="I38" s="10" t="n">
        <v>81</v>
      </c>
      <c r="J38" s="10" t="n">
        <v>8</v>
      </c>
      <c r="K38" s="10" t="n">
        <v>51</v>
      </c>
      <c r="L38" s="11" t="n">
        <v>9.039999999999999</v>
      </c>
      <c r="M38" s="11" t="n">
        <v>12.62</v>
      </c>
      <c r="N38" s="11" t="n">
        <v>732.24</v>
      </c>
      <c r="O38" s="12" t="n">
        <v>46099</v>
      </c>
      <c r="P38" s="12" t="n">
        <v>46100</v>
      </c>
      <c r="Q38" s="10" t="n">
        <v>105</v>
      </c>
      <c r="R38" s="10" t="n">
        <v>1</v>
      </c>
      <c r="S38" s="13" t="n">
        <v>0.0122</v>
      </c>
      <c r="T38" s="13" t="n">
        <v>0.2837</v>
      </c>
      <c r="U38" t="inlineStr">
        <is>
          <t>Excess</t>
        </is>
      </c>
      <c r="V38" t="inlineStr">
        <is>
          <t>Review Transfer</t>
        </is>
      </c>
    </row>
    <row r="39">
      <c r="A39" t="inlineStr">
        <is>
          <t>INV-00037</t>
        </is>
      </c>
      <c r="B39" t="inlineStr">
        <is>
          <t>T-1037</t>
        </is>
      </c>
      <c r="C39" t="inlineStr">
        <is>
          <t>Hydraulic Floor Jack 3-Ton</t>
        </is>
      </c>
      <c r="D39" t="inlineStr">
        <is>
          <t>Tools</t>
        </is>
      </c>
      <c r="E39" t="inlineStr">
        <is>
          <t>Lifts</t>
        </is>
      </c>
      <c r="F39" t="inlineStr">
        <is>
          <t>DC-NJ</t>
        </is>
      </c>
      <c r="G39" t="inlineStr">
        <is>
          <t>Distribution Center</t>
        </is>
      </c>
      <c r="H39" t="inlineStr">
        <is>
          <t>Northeast</t>
        </is>
      </c>
      <c r="I39" s="10" t="n">
        <v>56</v>
      </c>
      <c r="J39" s="10" t="n">
        <v>12</v>
      </c>
      <c r="K39" s="10" t="n">
        <v>44</v>
      </c>
      <c r="L39" s="11" t="n">
        <v>161.87</v>
      </c>
      <c r="M39" s="11" t="n">
        <v>256.28</v>
      </c>
      <c r="N39" s="11" t="n">
        <v>9064.719999999999</v>
      </c>
      <c r="O39" s="12" t="n">
        <v>45837</v>
      </c>
      <c r="P39" s="12" t="n">
        <v>45839</v>
      </c>
      <c r="Q39" s="10" t="n">
        <v>367</v>
      </c>
      <c r="R39" s="10" t="n">
        <v>1</v>
      </c>
      <c r="S39" s="13" t="n">
        <v>0.0175</v>
      </c>
      <c r="T39" s="13" t="n">
        <v>0.3684</v>
      </c>
      <c r="U39" t="inlineStr">
        <is>
          <t>Excess / Aged</t>
        </is>
      </c>
      <c r="V39" t="inlineStr">
        <is>
          <t>Transfer or Markdown</t>
        </is>
      </c>
    </row>
    <row r="40">
      <c r="A40" t="inlineStr">
        <is>
          <t>INV-00038</t>
        </is>
      </c>
      <c r="B40" t="inlineStr">
        <is>
          <t>B-1038</t>
        </is>
      </c>
      <c r="C40" t="inlineStr">
        <is>
          <t>Deep Cycle Marine 27DC</t>
        </is>
      </c>
      <c r="D40" t="inlineStr">
        <is>
          <t>Batteries</t>
        </is>
      </c>
      <c r="E40" t="inlineStr">
        <is>
          <t>Marine</t>
        </is>
      </c>
      <c r="F40" t="inlineStr">
        <is>
          <t>Store-Stamford</t>
        </is>
      </c>
      <c r="G40" t="inlineStr">
        <is>
          <t>Retail Store</t>
        </is>
      </c>
      <c r="H40" t="inlineStr">
        <is>
          <t>Connecticut</t>
        </is>
      </c>
      <c r="I40" s="10" t="n">
        <v>34</v>
      </c>
      <c r="J40" s="10" t="n">
        <v>14</v>
      </c>
      <c r="K40" s="10" t="n">
        <v>44</v>
      </c>
      <c r="L40" s="11" t="n">
        <v>141.57</v>
      </c>
      <c r="M40" s="11" t="n">
        <v>196.72</v>
      </c>
      <c r="N40" s="11" t="n">
        <v>4813.38</v>
      </c>
      <c r="O40" s="12" t="n">
        <v>46140</v>
      </c>
      <c r="P40" s="12" t="n">
        <v>46140</v>
      </c>
      <c r="Q40" s="10" t="n">
        <v>64</v>
      </c>
      <c r="R40" s="10" t="n">
        <v>32</v>
      </c>
      <c r="S40" s="13" t="n">
        <v>0.4848</v>
      </c>
      <c r="T40" s="13" t="n">
        <v>0.2803</v>
      </c>
      <c r="U40" t="inlineStr">
        <is>
          <t>Healthy</t>
        </is>
      </c>
      <c r="V40" t="inlineStr">
        <is>
          <t>Monitor</t>
        </is>
      </c>
    </row>
    <row r="41">
      <c r="A41" t="inlineStr">
        <is>
          <t>INV-00039</t>
        </is>
      </c>
      <c r="B41" t="inlineStr">
        <is>
          <t>T-1039</t>
        </is>
      </c>
      <c r="C41" t="inlineStr">
        <is>
          <t>Mavis Tour Plus 215/60R16</t>
        </is>
      </c>
      <c r="D41" t="inlineStr">
        <is>
          <t>Tires</t>
        </is>
      </c>
      <c r="E41" t="inlineStr">
        <is>
          <t>All-Season</t>
        </is>
      </c>
      <c r="F41" t="inlineStr">
        <is>
          <t>Store-WhitePlains</t>
        </is>
      </c>
      <c r="G41" t="inlineStr">
        <is>
          <t>Retail Store</t>
        </is>
      </c>
      <c r="H41" t="inlineStr">
        <is>
          <t>NYC Metro</t>
        </is>
      </c>
      <c r="I41" s="10" t="n">
        <v>21</v>
      </c>
      <c r="J41" s="10" t="n">
        <v>20</v>
      </c>
      <c r="K41" s="10" t="n">
        <v>38</v>
      </c>
      <c r="L41" s="11" t="n">
        <v>90.72</v>
      </c>
      <c r="M41" s="11" t="n">
        <v>127.91</v>
      </c>
      <c r="N41" s="11" t="n">
        <v>1905.12</v>
      </c>
      <c r="O41" s="12" t="n">
        <v>45989</v>
      </c>
      <c r="P41" s="12" t="n">
        <v>45999</v>
      </c>
      <c r="Q41" s="10" t="n">
        <v>215</v>
      </c>
      <c r="R41" s="10" t="n">
        <v>32</v>
      </c>
      <c r="S41" s="13" t="n">
        <v>0.6038</v>
      </c>
      <c r="T41" s="13" t="n">
        <v>0.2908</v>
      </c>
      <c r="U41" t="inlineStr">
        <is>
          <t>Healthy</t>
        </is>
      </c>
      <c r="V41" t="inlineStr">
        <is>
          <t>Monitor</t>
        </is>
      </c>
    </row>
    <row r="42">
      <c r="A42" t="inlineStr">
        <is>
          <t>INV-00040</t>
        </is>
      </c>
      <c r="B42" t="inlineStr">
        <is>
          <t>SS-1040</t>
        </is>
      </c>
      <c r="C42" t="inlineStr">
        <is>
          <t>Multi-Purpose Grease 14oz</t>
        </is>
      </c>
      <c r="D42" t="inlineStr">
        <is>
          <t>Shop Supplies</t>
        </is>
      </c>
      <c r="E42" t="inlineStr">
        <is>
          <t>Lubricants</t>
        </is>
      </c>
      <c r="F42" t="inlineStr">
        <is>
          <t>Store-Yonkers</t>
        </is>
      </c>
      <c r="G42" t="inlineStr">
        <is>
          <t>Retail Store</t>
        </is>
      </c>
      <c r="H42" t="inlineStr">
        <is>
          <t>NYC Metro</t>
        </is>
      </c>
      <c r="I42" s="10" t="n">
        <v>6</v>
      </c>
      <c r="J42" s="10" t="n">
        <v>8</v>
      </c>
      <c r="K42" s="10" t="n">
        <v>44</v>
      </c>
      <c r="L42" s="11" t="n">
        <v>7.6</v>
      </c>
      <c r="M42" s="11" t="n">
        <v>12.37</v>
      </c>
      <c r="N42" s="11" t="n">
        <v>45.6</v>
      </c>
      <c r="O42" s="12" t="n">
        <v>45893</v>
      </c>
      <c r="P42" s="12" t="n">
        <v>45894</v>
      </c>
      <c r="Q42" s="10" t="n">
        <v>311</v>
      </c>
      <c r="R42" s="10" t="n">
        <v>28</v>
      </c>
      <c r="S42" s="13" t="n">
        <v>0.8235</v>
      </c>
      <c r="T42" s="13" t="n">
        <v>0.3856</v>
      </c>
      <c r="U42" t="inlineStr">
        <is>
          <t>Stockout Risk</t>
        </is>
      </c>
      <c r="V42" t="inlineStr">
        <is>
          <t>Replenish</t>
        </is>
      </c>
    </row>
    <row r="43">
      <c r="A43" t="inlineStr">
        <is>
          <t>INV-00041</t>
        </is>
      </c>
      <c r="B43" t="inlineStr">
        <is>
          <t>T-1041</t>
        </is>
      </c>
      <c r="C43" t="inlineStr">
        <is>
          <t>Mavis SnowTrack 205/55R16</t>
        </is>
      </c>
      <c r="D43" t="inlineStr">
        <is>
          <t>Tires</t>
        </is>
      </c>
      <c r="E43" t="inlineStr">
        <is>
          <t>Winter</t>
        </is>
      </c>
      <c r="F43" t="inlineStr">
        <is>
          <t>Store-Queens</t>
        </is>
      </c>
      <c r="G43" t="inlineStr">
        <is>
          <t>Retail Store</t>
        </is>
      </c>
      <c r="H43" t="inlineStr">
        <is>
          <t>NYC Metro</t>
        </is>
      </c>
      <c r="I43" s="10" t="n">
        <v>10</v>
      </c>
      <c r="J43" s="10" t="n">
        <v>20</v>
      </c>
      <c r="K43" s="10" t="n">
        <v>44</v>
      </c>
      <c r="L43" s="11" t="n">
        <v>103.25</v>
      </c>
      <c r="M43" s="11" t="n">
        <v>148.26</v>
      </c>
      <c r="N43" s="11" t="n">
        <v>1032.5</v>
      </c>
      <c r="O43" s="12" t="n">
        <v>45997</v>
      </c>
      <c r="P43" s="12" t="n">
        <v>46006</v>
      </c>
      <c r="Q43" s="10" t="n">
        <v>207</v>
      </c>
      <c r="R43" s="10" t="n">
        <v>17</v>
      </c>
      <c r="S43" s="13" t="n">
        <v>0.6296</v>
      </c>
      <c r="T43" s="13" t="n">
        <v>0.3036</v>
      </c>
      <c r="U43" t="inlineStr">
        <is>
          <t>Stockout Risk</t>
        </is>
      </c>
      <c r="V43" t="inlineStr">
        <is>
          <t>Replenish</t>
        </is>
      </c>
    </row>
    <row r="44">
      <c r="A44" t="inlineStr">
        <is>
          <t>INV-00042</t>
        </is>
      </c>
      <c r="B44" t="inlineStr">
        <is>
          <t>A-1042</t>
        </is>
      </c>
      <c r="C44" t="inlineStr">
        <is>
          <t>LED Headlight Bulb H11 Pair</t>
        </is>
      </c>
      <c r="D44" t="inlineStr">
        <is>
          <t>Accessories</t>
        </is>
      </c>
      <c r="E44" t="inlineStr">
        <is>
          <t>Lighting</t>
        </is>
      </c>
      <c r="F44" t="inlineStr">
        <is>
          <t>Store-Stamford</t>
        </is>
      </c>
      <c r="G44" t="inlineStr">
        <is>
          <t>Retail Store</t>
        </is>
      </c>
      <c r="H44" t="inlineStr">
        <is>
          <t>Connecticut</t>
        </is>
      </c>
      <c r="I44" s="10" t="n">
        <v>38</v>
      </c>
      <c r="J44" s="10" t="n">
        <v>14</v>
      </c>
      <c r="K44" s="10" t="n">
        <v>29</v>
      </c>
      <c r="L44" s="11" t="n">
        <v>37.46</v>
      </c>
      <c r="M44" s="11" t="n">
        <v>52.15</v>
      </c>
      <c r="N44" s="11" t="n">
        <v>1423.48</v>
      </c>
      <c r="O44" s="12" t="n">
        <v>45969</v>
      </c>
      <c r="P44" s="12" t="n">
        <v>45978</v>
      </c>
      <c r="Q44" s="10" t="n">
        <v>235</v>
      </c>
      <c r="R44" s="10" t="n">
        <v>5</v>
      </c>
      <c r="S44" s="13" t="n">
        <v>0.1163</v>
      </c>
      <c r="T44" s="13" t="n">
        <v>0.2817</v>
      </c>
      <c r="U44" t="inlineStr">
        <is>
          <t>Excess / Aged</t>
        </is>
      </c>
      <c r="V44" t="inlineStr">
        <is>
          <t>Transfer or Markdown</t>
        </is>
      </c>
    </row>
    <row r="45">
      <c r="A45" t="inlineStr">
        <is>
          <t>INV-00043</t>
        </is>
      </c>
      <c r="B45" t="inlineStr">
        <is>
          <t>T-1043</t>
        </is>
      </c>
      <c r="C45" t="inlineStr">
        <is>
          <t>Hydraulic Floor Jack 3-Ton</t>
        </is>
      </c>
      <c r="D45" t="inlineStr">
        <is>
          <t>Tools</t>
        </is>
      </c>
      <c r="E45" t="inlineStr">
        <is>
          <t>Lifts</t>
        </is>
      </c>
      <c r="F45" t="inlineStr">
        <is>
          <t>Store-Queens</t>
        </is>
      </c>
      <c r="G45" t="inlineStr">
        <is>
          <t>Retail Store</t>
        </is>
      </c>
      <c r="H45" t="inlineStr">
        <is>
          <t>NYC Metro</t>
        </is>
      </c>
      <c r="I45" s="10" t="n">
        <v>14</v>
      </c>
      <c r="J45" s="10" t="n">
        <v>8</v>
      </c>
      <c r="K45" s="10" t="n">
        <v>51</v>
      </c>
      <c r="L45" s="11" t="n">
        <v>170.02</v>
      </c>
      <c r="M45" s="11" t="n">
        <v>253.37</v>
      </c>
      <c r="N45" s="11" t="n">
        <v>2380.28</v>
      </c>
      <c r="O45" s="12" t="n">
        <v>45952</v>
      </c>
      <c r="P45" s="12" t="n">
        <v>45965</v>
      </c>
      <c r="Q45" s="10" t="n">
        <v>252</v>
      </c>
      <c r="R45" s="10" t="n">
        <v>6</v>
      </c>
      <c r="S45" s="13" t="n">
        <v>0.3</v>
      </c>
      <c r="T45" s="13" t="n">
        <v>0.329</v>
      </c>
      <c r="U45" t="inlineStr">
        <is>
          <t>Healthy</t>
        </is>
      </c>
      <c r="V45" t="inlineStr">
        <is>
          <t>Monitor</t>
        </is>
      </c>
    </row>
    <row r="46">
      <c r="A46" t="inlineStr">
        <is>
          <t>INV-00044</t>
        </is>
      </c>
      <c r="B46" t="inlineStr">
        <is>
          <t>T-1044</t>
        </is>
      </c>
      <c r="C46" t="inlineStr">
        <is>
          <t>3/8in Drive Socket Set 40pc</t>
        </is>
      </c>
      <c r="D46" t="inlineStr">
        <is>
          <t>Tools</t>
        </is>
      </c>
      <c r="E46" t="inlineStr">
        <is>
          <t>Hand Tools</t>
        </is>
      </c>
      <c r="F46" t="inlineStr">
        <is>
          <t>Store-Yonkers</t>
        </is>
      </c>
      <c r="G46" t="inlineStr">
        <is>
          <t>Retail Store</t>
        </is>
      </c>
      <c r="H46" t="inlineStr">
        <is>
          <t>NYC Metro</t>
        </is>
      </c>
      <c r="I46" s="10" t="n">
        <v>45</v>
      </c>
      <c r="J46" s="10" t="n">
        <v>19</v>
      </c>
      <c r="K46" s="10" t="n">
        <v>34</v>
      </c>
      <c r="L46" s="11" t="n">
        <v>55.6</v>
      </c>
      <c r="M46" s="11" t="n">
        <v>78.94</v>
      </c>
      <c r="N46" s="11" t="n">
        <v>2502</v>
      </c>
      <c r="O46" s="12" t="n">
        <v>46154</v>
      </c>
      <c r="P46" s="12" t="n">
        <v>46166</v>
      </c>
      <c r="Q46" s="10" t="n">
        <v>50</v>
      </c>
      <c r="R46" s="10" t="n">
        <v>10</v>
      </c>
      <c r="S46" s="13" t="n">
        <v>0.1818</v>
      </c>
      <c r="T46" s="13" t="n">
        <v>0.2957</v>
      </c>
      <c r="U46" t="inlineStr">
        <is>
          <t>Excess</t>
        </is>
      </c>
      <c r="V46" t="inlineStr">
        <is>
          <t>Review Transfer</t>
        </is>
      </c>
    </row>
    <row r="47">
      <c r="A47" t="inlineStr">
        <is>
          <t>INV-00045</t>
        </is>
      </c>
      <c r="B47" t="inlineStr">
        <is>
          <t>B-1045</t>
        </is>
      </c>
      <c r="C47" t="inlineStr">
        <is>
          <t>Deep Cycle Marine 27DC</t>
        </is>
      </c>
      <c r="D47" t="inlineStr">
        <is>
          <t>Batteries</t>
        </is>
      </c>
      <c r="E47" t="inlineStr">
        <is>
          <t>Marine</t>
        </is>
      </c>
      <c r="F47" t="inlineStr">
        <is>
          <t>Store-Brooklyn</t>
        </is>
      </c>
      <c r="G47" t="inlineStr">
        <is>
          <t>Retail Store</t>
        </is>
      </c>
      <c r="H47" t="inlineStr">
        <is>
          <t>NYC Metro</t>
        </is>
      </c>
      <c r="I47" s="10" t="n">
        <v>79</v>
      </c>
      <c r="J47" s="10" t="n">
        <v>17</v>
      </c>
      <c r="K47" s="10" t="n">
        <v>50</v>
      </c>
      <c r="L47" s="11" t="n">
        <v>144.23</v>
      </c>
      <c r="M47" s="11" t="n">
        <v>210.9</v>
      </c>
      <c r="N47" s="11" t="n">
        <v>11394.17</v>
      </c>
      <c r="O47" s="12" t="n">
        <v>45839</v>
      </c>
      <c r="P47" s="12" t="n">
        <v>45848</v>
      </c>
      <c r="Q47" s="10" t="n">
        <v>365</v>
      </c>
      <c r="R47" s="10" t="n">
        <v>26</v>
      </c>
      <c r="S47" s="13" t="n">
        <v>0.2476</v>
      </c>
      <c r="T47" s="13" t="n">
        <v>0.3161</v>
      </c>
      <c r="U47" t="inlineStr">
        <is>
          <t>Excess / Aged</t>
        </is>
      </c>
      <c r="V47" t="inlineStr">
        <is>
          <t>Transfer or Markdown</t>
        </is>
      </c>
    </row>
    <row r="48">
      <c r="A48" t="inlineStr">
        <is>
          <t>INV-00046</t>
        </is>
      </c>
      <c r="B48" t="inlineStr">
        <is>
          <t>A-1046</t>
        </is>
      </c>
      <c r="C48" t="inlineStr">
        <is>
          <t>Serpentine Belt 6-Rib 68in</t>
        </is>
      </c>
      <c r="D48" t="inlineStr">
        <is>
          <t>Accessories</t>
        </is>
      </c>
      <c r="E48" t="inlineStr">
        <is>
          <t>Belts</t>
        </is>
      </c>
      <c r="F48" t="inlineStr">
        <is>
          <t>Store-Queens</t>
        </is>
      </c>
      <c r="G48" t="inlineStr">
        <is>
          <t>Retail Store</t>
        </is>
      </c>
      <c r="H48" t="inlineStr">
        <is>
          <t>NYC Metro</t>
        </is>
      </c>
      <c r="I48" s="10" t="n">
        <v>75</v>
      </c>
      <c r="J48" s="10" t="n">
        <v>9</v>
      </c>
      <c r="K48" s="10" t="n">
        <v>43</v>
      </c>
      <c r="L48" s="11" t="n">
        <v>23.88</v>
      </c>
      <c r="M48" s="11" t="n">
        <v>33.93</v>
      </c>
      <c r="N48" s="11" t="n">
        <v>1791</v>
      </c>
      <c r="O48" s="12" t="n">
        <v>45839</v>
      </c>
      <c r="P48" s="12" t="n">
        <v>45845</v>
      </c>
      <c r="Q48" s="10" t="n">
        <v>365</v>
      </c>
      <c r="R48" s="10" t="n">
        <v>9</v>
      </c>
      <c r="S48" s="13" t="n">
        <v>0.1071</v>
      </c>
      <c r="T48" s="13" t="n">
        <v>0.2962</v>
      </c>
      <c r="U48" t="inlineStr">
        <is>
          <t>Excess / Aged</t>
        </is>
      </c>
      <c r="V48" t="inlineStr">
        <is>
          <t>Transfer or Markdown</t>
        </is>
      </c>
    </row>
    <row r="49">
      <c r="A49" t="inlineStr">
        <is>
          <t>INV-00047</t>
        </is>
      </c>
      <c r="B49" t="inlineStr">
        <is>
          <t>A-1047</t>
        </is>
      </c>
      <c r="C49" t="inlineStr">
        <is>
          <t>All-Weather Floor Mat Set</t>
        </is>
      </c>
      <c r="D49" t="inlineStr">
        <is>
          <t>Accessories</t>
        </is>
      </c>
      <c r="E49" t="inlineStr">
        <is>
          <t>Floor Mats</t>
        </is>
      </c>
      <c r="F49" t="inlineStr">
        <is>
          <t>Store-Yonkers</t>
        </is>
      </c>
      <c r="G49" t="inlineStr">
        <is>
          <t>Retail Store</t>
        </is>
      </c>
      <c r="H49" t="inlineStr">
        <is>
          <t>NYC Metro</t>
        </is>
      </c>
      <c r="I49" s="10" t="n">
        <v>88</v>
      </c>
      <c r="J49" s="10" t="n">
        <v>18</v>
      </c>
      <c r="K49" s="10" t="n">
        <v>57</v>
      </c>
      <c r="L49" s="11" t="n">
        <v>50.46</v>
      </c>
      <c r="M49" s="11" t="n">
        <v>70.33</v>
      </c>
      <c r="N49" s="11" t="n">
        <v>4440.48</v>
      </c>
      <c r="O49" s="12" t="n">
        <v>46156</v>
      </c>
      <c r="P49" s="12" t="n">
        <v>46156</v>
      </c>
      <c r="Q49" s="10" t="n">
        <v>48</v>
      </c>
      <c r="R49" s="10" t="n">
        <v>30</v>
      </c>
      <c r="S49" s="13" t="n">
        <v>0.2542</v>
      </c>
      <c r="T49" s="13" t="n">
        <v>0.2825</v>
      </c>
      <c r="U49" t="inlineStr">
        <is>
          <t>Excess</t>
        </is>
      </c>
      <c r="V49" t="inlineStr">
        <is>
          <t>Review Transfer</t>
        </is>
      </c>
    </row>
    <row r="50">
      <c r="A50" t="inlineStr">
        <is>
          <t>INV-00048</t>
        </is>
      </c>
      <c r="B50" t="inlineStr">
        <is>
          <t>BP-1048</t>
        </is>
      </c>
      <c r="C50" t="inlineStr">
        <is>
          <t>Reman Brake Caliper - Rear</t>
        </is>
      </c>
      <c r="D50" t="inlineStr">
        <is>
          <t>Brake Parts</t>
        </is>
      </c>
      <c r="E50" t="inlineStr">
        <is>
          <t>Calipers</t>
        </is>
      </c>
      <c r="F50" t="inlineStr">
        <is>
          <t>Store-Newark</t>
        </is>
      </c>
      <c r="G50" t="inlineStr">
        <is>
          <t>Retail Store</t>
        </is>
      </c>
      <c r="H50" t="inlineStr">
        <is>
          <t>New Jersey</t>
        </is>
      </c>
      <c r="I50" s="10" t="n">
        <v>65</v>
      </c>
      <c r="J50" s="10" t="n">
        <v>12</v>
      </c>
      <c r="K50" s="10" t="n">
        <v>36</v>
      </c>
      <c r="L50" s="11" t="n">
        <v>70.08</v>
      </c>
      <c r="M50" s="11" t="n">
        <v>100.59</v>
      </c>
      <c r="N50" s="11" t="n">
        <v>4555.2</v>
      </c>
      <c r="O50" s="12" t="n">
        <v>46140</v>
      </c>
      <c r="P50" s="12" t="n">
        <v>46153</v>
      </c>
      <c r="Q50" s="10" t="n">
        <v>64</v>
      </c>
      <c r="R50" s="10" t="n">
        <v>32</v>
      </c>
      <c r="S50" s="13" t="n">
        <v>0.3299</v>
      </c>
      <c r="T50" s="13" t="n">
        <v>0.3033</v>
      </c>
      <c r="U50" t="inlineStr">
        <is>
          <t>Excess</t>
        </is>
      </c>
      <c r="V50" t="inlineStr">
        <is>
          <t>Review Transfer</t>
        </is>
      </c>
    </row>
    <row r="51">
      <c r="A51" t="inlineStr">
        <is>
          <t>INV-00049</t>
        </is>
      </c>
      <c r="B51" t="inlineStr">
        <is>
          <t>F-1049</t>
        </is>
      </c>
      <c r="C51" t="inlineStr">
        <is>
          <t>DOT 4 Brake Fluid 12oz</t>
        </is>
      </c>
      <c r="D51" t="inlineStr">
        <is>
          <t>Fluids</t>
        </is>
      </c>
      <c r="E51" t="inlineStr">
        <is>
          <t>Brake Fluid</t>
        </is>
      </c>
      <c r="F51" t="inlineStr">
        <is>
          <t>DC-NJ</t>
        </is>
      </c>
      <c r="G51" t="inlineStr">
        <is>
          <t>Distribution Center</t>
        </is>
      </c>
      <c r="H51" t="inlineStr">
        <is>
          <t>Northeast</t>
        </is>
      </c>
      <c r="I51" s="10" t="n">
        <v>35</v>
      </c>
      <c r="J51" s="10" t="n">
        <v>13</v>
      </c>
      <c r="K51" s="10" t="n">
        <v>31</v>
      </c>
      <c r="L51" s="11" t="n">
        <v>6.05</v>
      </c>
      <c r="M51" s="11" t="n">
        <v>8.26</v>
      </c>
      <c r="N51" s="11" t="n">
        <v>211.75</v>
      </c>
      <c r="O51" s="12" t="n">
        <v>46191</v>
      </c>
      <c r="P51" s="12" t="n">
        <v>46191</v>
      </c>
      <c r="Q51" s="10" t="n">
        <v>13</v>
      </c>
      <c r="R51" s="10" t="n">
        <v>24</v>
      </c>
      <c r="S51" s="13" t="n">
        <v>0.4068</v>
      </c>
      <c r="T51" s="13" t="n">
        <v>0.2676</v>
      </c>
      <c r="U51" t="inlineStr">
        <is>
          <t>Excess</t>
        </is>
      </c>
      <c r="V51" t="inlineStr">
        <is>
          <t>Review Transfer</t>
        </is>
      </c>
    </row>
    <row r="52">
      <c r="A52" t="inlineStr">
        <is>
          <t>INV-00050</t>
        </is>
      </c>
      <c r="B52" t="inlineStr">
        <is>
          <t>F-1050</t>
        </is>
      </c>
      <c r="C52" t="inlineStr">
        <is>
          <t>Engine Air Filter AF-9921</t>
        </is>
      </c>
      <c r="D52" t="inlineStr">
        <is>
          <t>Filters</t>
        </is>
      </c>
      <c r="E52" t="inlineStr">
        <is>
          <t>Air</t>
        </is>
      </c>
      <c r="F52" t="inlineStr">
        <is>
          <t>Store-Manhattan</t>
        </is>
      </c>
      <c r="G52" t="inlineStr">
        <is>
          <t>Retail Store</t>
        </is>
      </c>
      <c r="H52" t="inlineStr">
        <is>
          <t>NYC Metro</t>
        </is>
      </c>
      <c r="I52" s="10" t="n">
        <v>67</v>
      </c>
      <c r="J52" s="10" t="n">
        <v>14</v>
      </c>
      <c r="K52" s="10" t="n">
        <v>49</v>
      </c>
      <c r="L52" s="11" t="n">
        <v>14.21</v>
      </c>
      <c r="M52" s="11" t="n">
        <v>22.91</v>
      </c>
      <c r="N52" s="11" t="n">
        <v>952.0700000000001</v>
      </c>
      <c r="O52" s="12" t="n">
        <v>46036</v>
      </c>
      <c r="P52" s="12" t="n">
        <v>46040</v>
      </c>
      <c r="Q52" s="10" t="n">
        <v>168</v>
      </c>
      <c r="R52" s="10" t="n">
        <v>28</v>
      </c>
      <c r="S52" s="13" t="n">
        <v>0.2947</v>
      </c>
      <c r="T52" s="13" t="n">
        <v>0.3797</v>
      </c>
      <c r="U52" t="inlineStr">
        <is>
          <t>Excess</t>
        </is>
      </c>
      <c r="V52" t="inlineStr">
        <is>
          <t>Review Transfer</t>
        </is>
      </c>
    </row>
    <row r="53">
      <c r="A53" t="inlineStr">
        <is>
          <t>INV-00051</t>
        </is>
      </c>
      <c r="B53" t="inlineStr">
        <is>
          <t>SS-1051</t>
        </is>
      </c>
      <c r="C53" t="inlineStr">
        <is>
          <t>Nitrile Gloves Box/100</t>
        </is>
      </c>
      <c r="D53" t="inlineStr">
        <is>
          <t>Shop Supplies</t>
        </is>
      </c>
      <c r="E53" t="inlineStr">
        <is>
          <t>Safety</t>
        </is>
      </c>
      <c r="F53" t="inlineStr">
        <is>
          <t>Store-Newark</t>
        </is>
      </c>
      <c r="G53" t="inlineStr">
        <is>
          <t>Retail Store</t>
        </is>
      </c>
      <c r="H53" t="inlineStr">
        <is>
          <t>New Jersey</t>
        </is>
      </c>
      <c r="I53" s="10" t="n">
        <v>32</v>
      </c>
      <c r="J53" s="10" t="n">
        <v>14</v>
      </c>
      <c r="K53" s="10" t="n">
        <v>30</v>
      </c>
      <c r="L53" s="11" t="n">
        <v>18.28</v>
      </c>
      <c r="M53" s="11" t="n">
        <v>27.81</v>
      </c>
      <c r="N53" s="11" t="n">
        <v>584.96</v>
      </c>
      <c r="O53" s="12" t="n">
        <v>46124</v>
      </c>
      <c r="P53" s="12" t="n">
        <v>46127</v>
      </c>
      <c r="Q53" s="10" t="n">
        <v>80</v>
      </c>
      <c r="R53" s="10" t="n">
        <v>31</v>
      </c>
      <c r="S53" s="13" t="n">
        <v>0.4921</v>
      </c>
      <c r="T53" s="13" t="n">
        <v>0.3427</v>
      </c>
      <c r="U53" t="inlineStr">
        <is>
          <t>Excess</t>
        </is>
      </c>
      <c r="V53" t="inlineStr">
        <is>
          <t>Review Transfer</t>
        </is>
      </c>
    </row>
    <row r="54">
      <c r="A54" t="inlineStr">
        <is>
          <t>INV-00052</t>
        </is>
      </c>
      <c r="B54" t="inlineStr">
        <is>
          <t>A-1052</t>
        </is>
      </c>
      <c r="C54" t="inlineStr">
        <is>
          <t>LED Headlight Bulb H11 Pair</t>
        </is>
      </c>
      <c r="D54" t="inlineStr">
        <is>
          <t>Accessories</t>
        </is>
      </c>
      <c r="E54" t="inlineStr">
        <is>
          <t>Lighting</t>
        </is>
      </c>
      <c r="F54" t="inlineStr">
        <is>
          <t>Store-Queens</t>
        </is>
      </c>
      <c r="G54" t="inlineStr">
        <is>
          <t>Retail Store</t>
        </is>
      </c>
      <c r="H54" t="inlineStr">
        <is>
          <t>NYC Metro</t>
        </is>
      </c>
      <c r="I54" s="10" t="n">
        <v>0</v>
      </c>
      <c r="J54" s="10" t="n">
        <v>11</v>
      </c>
      <c r="K54" s="10" t="n">
        <v>27</v>
      </c>
      <c r="L54" s="11" t="n">
        <v>37.45</v>
      </c>
      <c r="M54" s="11" t="n">
        <v>59.92</v>
      </c>
      <c r="N54" s="11" t="n">
        <v>0</v>
      </c>
      <c r="O54" s="12" t="n">
        <v>46044</v>
      </c>
      <c r="P54" s="12" t="n">
        <v>46051</v>
      </c>
      <c r="Q54" s="10" t="n">
        <v>160</v>
      </c>
      <c r="R54" s="10" t="n">
        <v>32</v>
      </c>
      <c r="S54" s="13" t="n">
        <v>1</v>
      </c>
      <c r="T54" s="13" t="n">
        <v>0.375</v>
      </c>
      <c r="U54" t="inlineStr">
        <is>
          <t>Stockout Risk</t>
        </is>
      </c>
      <c r="V54" t="inlineStr">
        <is>
          <t>Replenish</t>
        </is>
      </c>
    </row>
    <row r="55">
      <c r="A55" t="inlineStr">
        <is>
          <t>INV-00053</t>
        </is>
      </c>
      <c r="B55" t="inlineStr">
        <is>
          <t>T-1053</t>
        </is>
      </c>
      <c r="C55" t="inlineStr">
        <is>
          <t>Mavis Fleet HD 225/75R16</t>
        </is>
      </c>
      <c r="D55" t="inlineStr">
        <is>
          <t>Tires</t>
        </is>
      </c>
      <c r="E55" t="inlineStr">
        <is>
          <t>Commercial</t>
        </is>
      </c>
      <c r="F55" t="inlineStr">
        <is>
          <t>DC-NY</t>
        </is>
      </c>
      <c r="G55" t="inlineStr">
        <is>
          <t>Distribution Center</t>
        </is>
      </c>
      <c r="H55" t="inlineStr">
        <is>
          <t>Northeast</t>
        </is>
      </c>
      <c r="I55" s="10" t="n">
        <v>62</v>
      </c>
      <c r="J55" s="10" t="n">
        <v>13</v>
      </c>
      <c r="K55" s="10" t="n">
        <v>55</v>
      </c>
      <c r="L55" s="11" t="n">
        <v>147.72</v>
      </c>
      <c r="M55" s="11" t="n">
        <v>242.83</v>
      </c>
      <c r="N55" s="11" t="n">
        <v>9158.639999999999</v>
      </c>
      <c r="O55" s="12" t="n">
        <v>46158</v>
      </c>
      <c r="P55" s="12" t="n">
        <v>46170</v>
      </c>
      <c r="Q55" s="10" t="n">
        <v>46</v>
      </c>
      <c r="R55" s="10" t="n">
        <v>29</v>
      </c>
      <c r="S55" s="13" t="n">
        <v>0.3187</v>
      </c>
      <c r="T55" s="13" t="n">
        <v>0.3917</v>
      </c>
      <c r="U55" t="inlineStr">
        <is>
          <t>Excess</t>
        </is>
      </c>
      <c r="V55" t="inlineStr">
        <is>
          <t>Review Transfer</t>
        </is>
      </c>
    </row>
    <row r="56">
      <c r="A56" t="inlineStr">
        <is>
          <t>INV-00054</t>
        </is>
      </c>
      <c r="B56" t="inlineStr">
        <is>
          <t>B-1054</t>
        </is>
      </c>
      <c r="C56" t="inlineStr">
        <is>
          <t>Deep Cycle Marine 27DC</t>
        </is>
      </c>
      <c r="D56" t="inlineStr">
        <is>
          <t>Batteries</t>
        </is>
      </c>
      <c r="E56" t="inlineStr">
        <is>
          <t>Marine</t>
        </is>
      </c>
      <c r="F56" t="inlineStr">
        <is>
          <t>Store-Yonkers</t>
        </is>
      </c>
      <c r="G56" t="inlineStr">
        <is>
          <t>Retail Store</t>
        </is>
      </c>
      <c r="H56" t="inlineStr">
        <is>
          <t>NYC Metro</t>
        </is>
      </c>
      <c r="I56" s="10" t="n">
        <v>55</v>
      </c>
      <c r="J56" s="10" t="n">
        <v>15</v>
      </c>
      <c r="K56" s="10" t="n">
        <v>53</v>
      </c>
      <c r="L56" s="11" t="n">
        <v>140.18</v>
      </c>
      <c r="M56" s="11" t="n">
        <v>211.79</v>
      </c>
      <c r="N56" s="11" t="n">
        <v>7709.9</v>
      </c>
      <c r="O56" s="12" t="n">
        <v>45933</v>
      </c>
      <c r="P56" s="12" t="n">
        <v>45944</v>
      </c>
      <c r="Q56" s="10" t="n">
        <v>271</v>
      </c>
      <c r="R56" s="10" t="n">
        <v>21</v>
      </c>
      <c r="S56" s="13" t="n">
        <v>0.2763</v>
      </c>
      <c r="T56" s="13" t="n">
        <v>0.3381</v>
      </c>
      <c r="U56" t="inlineStr">
        <is>
          <t>Excess / Aged</t>
        </is>
      </c>
      <c r="V56" t="inlineStr">
        <is>
          <t>Transfer or Markdown</t>
        </is>
      </c>
    </row>
    <row r="57">
      <c r="A57" t="inlineStr">
        <is>
          <t>INV-00055</t>
        </is>
      </c>
      <c r="B57" t="inlineStr">
        <is>
          <t>B-1055</t>
        </is>
      </c>
      <c r="C57" t="inlineStr">
        <is>
          <t>Deep Cycle Marine 27DC</t>
        </is>
      </c>
      <c r="D57" t="inlineStr">
        <is>
          <t>Batteries</t>
        </is>
      </c>
      <c r="E57" t="inlineStr">
        <is>
          <t>Marine</t>
        </is>
      </c>
      <c r="F57" t="inlineStr">
        <is>
          <t>Store-Brooklyn</t>
        </is>
      </c>
      <c r="G57" t="inlineStr">
        <is>
          <t>Retail Store</t>
        </is>
      </c>
      <c r="H57" t="inlineStr">
        <is>
          <t>NYC Metro</t>
        </is>
      </c>
      <c r="I57" s="10" t="n">
        <v>79</v>
      </c>
      <c r="J57" s="10" t="n">
        <v>20</v>
      </c>
      <c r="K57" s="10" t="n">
        <v>60</v>
      </c>
      <c r="L57" s="11" t="n">
        <v>147.53</v>
      </c>
      <c r="M57" s="11" t="n">
        <v>210.96</v>
      </c>
      <c r="N57" s="11" t="n">
        <v>11654.87</v>
      </c>
      <c r="O57" s="12" t="n">
        <v>46007</v>
      </c>
      <c r="P57" s="12" t="n">
        <v>46012</v>
      </c>
      <c r="Q57" s="10" t="n">
        <v>197</v>
      </c>
      <c r="R57" s="10" t="n">
        <v>27</v>
      </c>
      <c r="S57" s="13" t="n">
        <v>0.2547</v>
      </c>
      <c r="T57" s="13" t="n">
        <v>0.3007</v>
      </c>
      <c r="U57" t="inlineStr">
        <is>
          <t>Excess / Aged</t>
        </is>
      </c>
      <c r="V57" t="inlineStr">
        <is>
          <t>Transfer or Markdown</t>
        </is>
      </c>
    </row>
    <row r="58">
      <c r="A58" t="inlineStr">
        <is>
          <t>INV-00056</t>
        </is>
      </c>
      <c r="B58" t="inlineStr">
        <is>
          <t>T-1056</t>
        </is>
      </c>
      <c r="C58" t="inlineStr">
        <is>
          <t>Mavis Sport Grip 245/40R18</t>
        </is>
      </c>
      <c r="D58" t="inlineStr">
        <is>
          <t>Tires</t>
        </is>
      </c>
      <c r="E58" t="inlineStr">
        <is>
          <t>Performance</t>
        </is>
      </c>
      <c r="F58" t="inlineStr">
        <is>
          <t>DC-NJ</t>
        </is>
      </c>
      <c r="G58" t="inlineStr">
        <is>
          <t>Distribution Center</t>
        </is>
      </c>
      <c r="H58" t="inlineStr">
        <is>
          <t>Northeast</t>
        </is>
      </c>
      <c r="I58" s="10" t="n">
        <v>12</v>
      </c>
      <c r="J58" s="10" t="n">
        <v>13</v>
      </c>
      <c r="K58" s="10" t="n">
        <v>42</v>
      </c>
      <c r="L58" s="11" t="n">
        <v>122.85</v>
      </c>
      <c r="M58" s="11" t="n">
        <v>179.35</v>
      </c>
      <c r="N58" s="11" t="n">
        <v>1474.2</v>
      </c>
      <c r="O58" s="12" t="n">
        <v>46026</v>
      </c>
      <c r="P58" s="12" t="n">
        <v>46029</v>
      </c>
      <c r="Q58" s="10" t="n">
        <v>178</v>
      </c>
      <c r="R58" s="10" t="n">
        <v>21</v>
      </c>
      <c r="S58" s="13" t="n">
        <v>0.6364</v>
      </c>
      <c r="T58" s="13" t="n">
        <v>0.315</v>
      </c>
      <c r="U58" t="inlineStr">
        <is>
          <t>Stockout Risk</t>
        </is>
      </c>
      <c r="V58" t="inlineStr">
        <is>
          <t>Replenish</t>
        </is>
      </c>
    </row>
    <row r="59">
      <c r="A59" t="inlineStr">
        <is>
          <t>INV-00057</t>
        </is>
      </c>
      <c r="B59" t="inlineStr">
        <is>
          <t>T-1057</t>
        </is>
      </c>
      <c r="C59" t="inlineStr">
        <is>
          <t>Hydraulic Floor Jack 3-Ton</t>
        </is>
      </c>
      <c r="D59" t="inlineStr">
        <is>
          <t>Tools</t>
        </is>
      </c>
      <c r="E59" t="inlineStr">
        <is>
          <t>Lifts</t>
        </is>
      </c>
      <c r="F59" t="inlineStr">
        <is>
          <t>Store-Bronx</t>
        </is>
      </c>
      <c r="G59" t="inlineStr">
        <is>
          <t>Retail Store</t>
        </is>
      </c>
      <c r="H59" t="inlineStr">
        <is>
          <t>NYC Metro</t>
        </is>
      </c>
      <c r="I59" s="10" t="n">
        <v>13</v>
      </c>
      <c r="J59" s="10" t="n">
        <v>13</v>
      </c>
      <c r="K59" s="10" t="n">
        <v>39</v>
      </c>
      <c r="L59" s="11" t="n">
        <v>172.41</v>
      </c>
      <c r="M59" s="11" t="n">
        <v>280.15</v>
      </c>
      <c r="N59" s="11" t="n">
        <v>2241.33</v>
      </c>
      <c r="O59" s="12" t="n">
        <v>45915</v>
      </c>
      <c r="P59" s="12" t="n">
        <v>45919</v>
      </c>
      <c r="Q59" s="10" t="n">
        <v>289</v>
      </c>
      <c r="R59" s="10" t="n">
        <v>8</v>
      </c>
      <c r="S59" s="13" t="n">
        <v>0.381</v>
      </c>
      <c r="T59" s="13" t="n">
        <v>0.3846</v>
      </c>
      <c r="U59" t="inlineStr">
        <is>
          <t>Healthy</t>
        </is>
      </c>
      <c r="V59" t="inlineStr">
        <is>
          <t>Monitor</t>
        </is>
      </c>
    </row>
    <row r="60">
      <c r="A60" t="inlineStr">
        <is>
          <t>INV-00058</t>
        </is>
      </c>
      <c r="B60" t="inlineStr">
        <is>
          <t>SS-1058</t>
        </is>
      </c>
      <c r="C60" t="inlineStr">
        <is>
          <t>Multi-Purpose Grease 14oz</t>
        </is>
      </c>
      <c r="D60" t="inlineStr">
        <is>
          <t>Shop Supplies</t>
        </is>
      </c>
      <c r="E60" t="inlineStr">
        <is>
          <t>Lubricants</t>
        </is>
      </c>
      <c r="F60" t="inlineStr">
        <is>
          <t>Store-Brooklyn</t>
        </is>
      </c>
      <c r="G60" t="inlineStr">
        <is>
          <t>Retail Store</t>
        </is>
      </c>
      <c r="H60" t="inlineStr">
        <is>
          <t>NYC Metro</t>
        </is>
      </c>
      <c r="I60" s="10" t="n">
        <v>35</v>
      </c>
      <c r="J60" s="10" t="n">
        <v>18</v>
      </c>
      <c r="K60" s="10" t="n">
        <v>42</v>
      </c>
      <c r="L60" s="11" t="n">
        <v>8.02</v>
      </c>
      <c r="M60" s="11" t="n">
        <v>12.76</v>
      </c>
      <c r="N60" s="11" t="n">
        <v>280.7</v>
      </c>
      <c r="O60" s="12" t="n">
        <v>45977</v>
      </c>
      <c r="P60" s="12" t="n">
        <v>45989</v>
      </c>
      <c r="Q60" s="10" t="n">
        <v>227</v>
      </c>
      <c r="R60" s="10" t="n">
        <v>33</v>
      </c>
      <c r="S60" s="13" t="n">
        <v>0.4853</v>
      </c>
      <c r="T60" s="13" t="n">
        <v>0.3715</v>
      </c>
      <c r="U60" t="inlineStr">
        <is>
          <t>Healthy</t>
        </is>
      </c>
      <c r="V60" t="inlineStr">
        <is>
          <t>Monitor</t>
        </is>
      </c>
    </row>
    <row r="61">
      <c r="A61" t="inlineStr">
        <is>
          <t>INV-00059</t>
        </is>
      </c>
      <c r="B61" t="inlineStr">
        <is>
          <t>F-1059</t>
        </is>
      </c>
      <c r="C61" t="inlineStr">
        <is>
          <t>Extended Life Coolant 1gal</t>
        </is>
      </c>
      <c r="D61" t="inlineStr">
        <is>
          <t>Fluids</t>
        </is>
      </c>
      <c r="E61" t="inlineStr">
        <is>
          <t>Coolant</t>
        </is>
      </c>
      <c r="F61" t="inlineStr">
        <is>
          <t>Store-Brooklyn</t>
        </is>
      </c>
      <c r="G61" t="inlineStr">
        <is>
          <t>Retail Store</t>
        </is>
      </c>
      <c r="H61" t="inlineStr">
        <is>
          <t>NYC Metro</t>
        </is>
      </c>
      <c r="I61" s="10" t="n">
        <v>6</v>
      </c>
      <c r="J61" s="10" t="n">
        <v>17</v>
      </c>
      <c r="K61" s="10" t="n">
        <v>50</v>
      </c>
      <c r="L61" s="11" t="n">
        <v>17.95</v>
      </c>
      <c r="M61" s="11" t="n">
        <v>27.97</v>
      </c>
      <c r="N61" s="11" t="n">
        <v>107.7</v>
      </c>
      <c r="O61" s="12" t="n">
        <v>46080</v>
      </c>
      <c r="P61" s="12" t="n">
        <v>46091</v>
      </c>
      <c r="Q61" s="10" t="n">
        <v>124</v>
      </c>
      <c r="R61" s="10" t="n">
        <v>6</v>
      </c>
      <c r="S61" s="13" t="n">
        <v>0.5</v>
      </c>
      <c r="T61" s="13" t="n">
        <v>0.3582</v>
      </c>
      <c r="U61" t="inlineStr">
        <is>
          <t>Stockout Risk</t>
        </is>
      </c>
      <c r="V61" t="inlineStr">
        <is>
          <t>Replenish</t>
        </is>
      </c>
    </row>
    <row r="62">
      <c r="A62" t="inlineStr">
        <is>
          <t>INV-00060</t>
        </is>
      </c>
      <c r="B62" t="inlineStr">
        <is>
          <t>F-1060</t>
        </is>
      </c>
      <c r="C62" t="inlineStr">
        <is>
          <t>Synthetic Motor Oil 5W-30 5qt</t>
        </is>
      </c>
      <c r="D62" t="inlineStr">
        <is>
          <t>Fluids</t>
        </is>
      </c>
      <c r="E62" t="inlineStr">
        <is>
          <t>Motor Oil</t>
        </is>
      </c>
      <c r="F62" t="inlineStr">
        <is>
          <t>Store-Newark</t>
        </is>
      </c>
      <c r="G62" t="inlineStr">
        <is>
          <t>Retail Store</t>
        </is>
      </c>
      <c r="H62" t="inlineStr">
        <is>
          <t>New Jersey</t>
        </is>
      </c>
      <c r="I62" s="10" t="n">
        <v>68</v>
      </c>
      <c r="J62" s="10" t="n">
        <v>19</v>
      </c>
      <c r="K62" s="10" t="n">
        <v>37</v>
      </c>
      <c r="L62" s="11" t="n">
        <v>29.64</v>
      </c>
      <c r="M62" s="11" t="n">
        <v>40.77</v>
      </c>
      <c r="N62" s="11" t="n">
        <v>2015.52</v>
      </c>
      <c r="O62" s="12" t="n">
        <v>45945</v>
      </c>
      <c r="P62" s="12" t="n">
        <v>45946</v>
      </c>
      <c r="Q62" s="10" t="n">
        <v>259</v>
      </c>
      <c r="R62" s="10" t="n">
        <v>22</v>
      </c>
      <c r="S62" s="13" t="n">
        <v>0.2444</v>
      </c>
      <c r="T62" s="13" t="n">
        <v>0.273</v>
      </c>
      <c r="U62" t="inlineStr">
        <is>
          <t>Excess / Aged</t>
        </is>
      </c>
      <c r="V62" t="inlineStr">
        <is>
          <t>Transfer or Markdown</t>
        </is>
      </c>
    </row>
    <row r="63">
      <c r="A63" t="inlineStr">
        <is>
          <t>INV-00061</t>
        </is>
      </c>
      <c r="B63" t="inlineStr">
        <is>
          <t>F-1061</t>
        </is>
      </c>
      <c r="C63" t="inlineStr">
        <is>
          <t>Synthetic Motor Oil 5W-30 5qt</t>
        </is>
      </c>
      <c r="D63" t="inlineStr">
        <is>
          <t>Fluids</t>
        </is>
      </c>
      <c r="E63" t="inlineStr">
        <is>
          <t>Motor Oil</t>
        </is>
      </c>
      <c r="F63" t="inlineStr">
        <is>
          <t>Store-Stamford</t>
        </is>
      </c>
      <c r="G63" t="inlineStr">
        <is>
          <t>Retail Store</t>
        </is>
      </c>
      <c r="H63" t="inlineStr">
        <is>
          <t>Connecticut</t>
        </is>
      </c>
      <c r="I63" s="10" t="n">
        <v>68</v>
      </c>
      <c r="J63" s="10" t="n">
        <v>17</v>
      </c>
      <c r="K63" s="10" t="n">
        <v>36</v>
      </c>
      <c r="L63" s="11" t="n">
        <v>29.26</v>
      </c>
      <c r="M63" s="11" t="n">
        <v>46.37</v>
      </c>
      <c r="N63" s="11" t="n">
        <v>1989.68</v>
      </c>
      <c r="O63" s="12" t="n">
        <v>45802</v>
      </c>
      <c r="P63" s="12" t="n">
        <v>45814</v>
      </c>
      <c r="Q63" s="10" t="n">
        <v>402</v>
      </c>
      <c r="R63" s="10" t="n">
        <v>5</v>
      </c>
      <c r="S63" s="13" t="n">
        <v>0.06850000000000001</v>
      </c>
      <c r="T63" s="13" t="n">
        <v>0.369</v>
      </c>
      <c r="U63" t="inlineStr">
        <is>
          <t>Excess / Aged</t>
        </is>
      </c>
      <c r="V63" t="inlineStr">
        <is>
          <t>Transfer or Markdown</t>
        </is>
      </c>
    </row>
    <row r="64">
      <c r="A64" t="inlineStr">
        <is>
          <t>INV-00062</t>
        </is>
      </c>
      <c r="B64" t="inlineStr">
        <is>
          <t>A-1062</t>
        </is>
      </c>
      <c r="C64" t="inlineStr">
        <is>
          <t>All-Weather Floor Mat Set</t>
        </is>
      </c>
      <c r="D64" t="inlineStr">
        <is>
          <t>Accessories</t>
        </is>
      </c>
      <c r="E64" t="inlineStr">
        <is>
          <t>Floor Mats</t>
        </is>
      </c>
      <c r="F64" t="inlineStr">
        <is>
          <t>Store-Yonkers</t>
        </is>
      </c>
      <c r="G64" t="inlineStr">
        <is>
          <t>Retail Store</t>
        </is>
      </c>
      <c r="H64" t="inlineStr">
        <is>
          <t>NYC Metro</t>
        </is>
      </c>
      <c r="I64" s="10" t="n">
        <v>8</v>
      </c>
      <c r="J64" s="10" t="n">
        <v>20</v>
      </c>
      <c r="K64" s="10" t="n">
        <v>63</v>
      </c>
      <c r="L64" s="11" t="n">
        <v>47.97</v>
      </c>
      <c r="M64" s="11" t="n">
        <v>73.63</v>
      </c>
      <c r="N64" s="11" t="n">
        <v>383.76</v>
      </c>
      <c r="O64" s="12" t="n">
        <v>46094</v>
      </c>
      <c r="P64" s="12" t="n">
        <v>46102</v>
      </c>
      <c r="Q64" s="10" t="n">
        <v>110</v>
      </c>
      <c r="R64" s="10" t="n">
        <v>25</v>
      </c>
      <c r="S64" s="13" t="n">
        <v>0.7576000000000001</v>
      </c>
      <c r="T64" s="13" t="n">
        <v>0.3485</v>
      </c>
      <c r="U64" t="inlineStr">
        <is>
          <t>Stockout Risk</t>
        </is>
      </c>
      <c r="V64" t="inlineStr">
        <is>
          <t>Replenish</t>
        </is>
      </c>
    </row>
    <row r="65">
      <c r="A65" t="inlineStr">
        <is>
          <t>INV-00063</t>
        </is>
      </c>
      <c r="B65" t="inlineStr">
        <is>
          <t>BP-1063</t>
        </is>
      </c>
      <c r="C65" t="inlineStr">
        <is>
          <t>Vented Brake Rotor 11.8in</t>
        </is>
      </c>
      <c r="D65" t="inlineStr">
        <is>
          <t>Brake Parts</t>
        </is>
      </c>
      <c r="E65" t="inlineStr">
        <is>
          <t>Rotors</t>
        </is>
      </c>
      <c r="F65" t="inlineStr">
        <is>
          <t>DC-NJ</t>
        </is>
      </c>
      <c r="G65" t="inlineStr">
        <is>
          <t>Distribution Center</t>
        </is>
      </c>
      <c r="H65" t="inlineStr">
        <is>
          <t>Northeast</t>
        </is>
      </c>
      <c r="I65" s="10" t="n">
        <v>0</v>
      </c>
      <c r="J65" s="10" t="n">
        <v>9</v>
      </c>
      <c r="K65" s="10" t="n">
        <v>40</v>
      </c>
      <c r="L65" s="11" t="n">
        <v>49.01</v>
      </c>
      <c r="M65" s="11" t="n">
        <v>77.40000000000001</v>
      </c>
      <c r="N65" s="11" t="n">
        <v>0</v>
      </c>
      <c r="O65" s="12" t="n">
        <v>45962</v>
      </c>
      <c r="P65" s="12" t="n">
        <v>45968</v>
      </c>
      <c r="Q65" s="10" t="n">
        <v>242</v>
      </c>
      <c r="R65" s="10" t="n">
        <v>16</v>
      </c>
      <c r="S65" s="13" t="n">
        <v>1</v>
      </c>
      <c r="T65" s="13" t="n">
        <v>0.3668</v>
      </c>
      <c r="U65" t="inlineStr">
        <is>
          <t>Stockout Risk</t>
        </is>
      </c>
      <c r="V65" t="inlineStr">
        <is>
          <t>Replenish</t>
        </is>
      </c>
    </row>
    <row r="66">
      <c r="A66" t="inlineStr">
        <is>
          <t>INV-00064</t>
        </is>
      </c>
      <c r="B66" t="inlineStr">
        <is>
          <t>A-1064</t>
        </is>
      </c>
      <c r="C66" t="inlineStr">
        <is>
          <t>Serpentine Belt 6-Rib 68in</t>
        </is>
      </c>
      <c r="D66" t="inlineStr">
        <is>
          <t>Accessories</t>
        </is>
      </c>
      <c r="E66" t="inlineStr">
        <is>
          <t>Belts</t>
        </is>
      </c>
      <c r="F66" t="inlineStr">
        <is>
          <t>Store-Yonkers</t>
        </is>
      </c>
      <c r="G66" t="inlineStr">
        <is>
          <t>Retail Store</t>
        </is>
      </c>
      <c r="H66" t="inlineStr">
        <is>
          <t>NYC Metro</t>
        </is>
      </c>
      <c r="I66" s="10" t="n">
        <v>18</v>
      </c>
      <c r="J66" s="10" t="n">
        <v>14</v>
      </c>
      <c r="K66" s="10" t="n">
        <v>43</v>
      </c>
      <c r="L66" s="11" t="n">
        <v>23.57</v>
      </c>
      <c r="M66" s="11" t="n">
        <v>32.65</v>
      </c>
      <c r="N66" s="11" t="n">
        <v>424.26</v>
      </c>
      <c r="O66" s="12" t="n">
        <v>45951</v>
      </c>
      <c r="P66" s="12" t="n">
        <v>45964</v>
      </c>
      <c r="Q66" s="10" t="n">
        <v>253</v>
      </c>
      <c r="R66" s="10" t="n">
        <v>4</v>
      </c>
      <c r="S66" s="13" t="n">
        <v>0.1818</v>
      </c>
      <c r="T66" s="13" t="n">
        <v>0.2781</v>
      </c>
      <c r="U66" t="inlineStr">
        <is>
          <t>Healthy</t>
        </is>
      </c>
      <c r="V66" t="inlineStr">
        <is>
          <t>Monitor</t>
        </is>
      </c>
    </row>
    <row r="67">
      <c r="A67" t="inlineStr">
        <is>
          <t>INV-00065</t>
        </is>
      </c>
      <c r="B67" t="inlineStr">
        <is>
          <t>T-1065</t>
        </is>
      </c>
      <c r="C67" t="inlineStr">
        <is>
          <t>Hydraulic Floor Jack 3-Ton</t>
        </is>
      </c>
      <c r="D67" t="inlineStr">
        <is>
          <t>Tools</t>
        </is>
      </c>
      <c r="E67" t="inlineStr">
        <is>
          <t>Lifts</t>
        </is>
      </c>
      <c r="F67" t="inlineStr">
        <is>
          <t>DC-NY</t>
        </is>
      </c>
      <c r="G67" t="inlineStr">
        <is>
          <t>Distribution Center</t>
        </is>
      </c>
      <c r="H67" t="inlineStr">
        <is>
          <t>Northeast</t>
        </is>
      </c>
      <c r="I67" s="10" t="n">
        <v>60</v>
      </c>
      <c r="J67" s="10" t="n">
        <v>14</v>
      </c>
      <c r="K67" s="10" t="n">
        <v>48</v>
      </c>
      <c r="L67" s="11" t="n">
        <v>167.83</v>
      </c>
      <c r="M67" s="11" t="n">
        <v>243.37</v>
      </c>
      <c r="N67" s="11" t="n">
        <v>10069.8</v>
      </c>
      <c r="O67" s="12" t="n">
        <v>46026</v>
      </c>
      <c r="P67" s="12" t="n">
        <v>46037</v>
      </c>
      <c r="Q67" s="10" t="n">
        <v>178</v>
      </c>
      <c r="R67" s="10" t="n">
        <v>32</v>
      </c>
      <c r="S67" s="13" t="n">
        <v>0.3478</v>
      </c>
      <c r="T67" s="13" t="n">
        <v>0.3104</v>
      </c>
      <c r="U67" t="inlineStr">
        <is>
          <t>Excess</t>
        </is>
      </c>
      <c r="V67" t="inlineStr">
        <is>
          <t>Review Transfer</t>
        </is>
      </c>
    </row>
    <row r="68">
      <c r="A68" t="inlineStr">
        <is>
          <t>INV-00066</t>
        </is>
      </c>
      <c r="B68" t="inlineStr">
        <is>
          <t>T-1066</t>
        </is>
      </c>
      <c r="C68" t="inlineStr">
        <is>
          <t>Hydraulic Floor Jack 3-Ton</t>
        </is>
      </c>
      <c r="D68" t="inlineStr">
        <is>
          <t>Tools</t>
        </is>
      </c>
      <c r="E68" t="inlineStr">
        <is>
          <t>Lifts</t>
        </is>
      </c>
      <c r="F68" t="inlineStr">
        <is>
          <t>Store-Newark</t>
        </is>
      </c>
      <c r="G68" t="inlineStr">
        <is>
          <t>Retail Store</t>
        </is>
      </c>
      <c r="H68" t="inlineStr">
        <is>
          <t>New Jersey</t>
        </is>
      </c>
      <c r="I68" s="10" t="n">
        <v>57</v>
      </c>
      <c r="J68" s="10" t="n">
        <v>18</v>
      </c>
      <c r="K68" s="10" t="n">
        <v>55</v>
      </c>
      <c r="L68" s="11" t="n">
        <v>161.94</v>
      </c>
      <c r="M68" s="11" t="n">
        <v>226.28</v>
      </c>
      <c r="N68" s="11" t="n">
        <v>9230.58</v>
      </c>
      <c r="O68" s="12" t="n">
        <v>46087</v>
      </c>
      <c r="P68" s="12" t="n">
        <v>46092</v>
      </c>
      <c r="Q68" s="10" t="n">
        <v>117</v>
      </c>
      <c r="R68" s="10" t="n">
        <v>27</v>
      </c>
      <c r="S68" s="13" t="n">
        <v>0.3214</v>
      </c>
      <c r="T68" s="13" t="n">
        <v>0.2843</v>
      </c>
      <c r="U68" t="inlineStr">
        <is>
          <t>Excess</t>
        </is>
      </c>
      <c r="V68" t="inlineStr">
        <is>
          <t>Review Transfer</t>
        </is>
      </c>
    </row>
    <row r="69">
      <c r="A69" t="inlineStr">
        <is>
          <t>INV-00067</t>
        </is>
      </c>
      <c r="B69" t="inlineStr">
        <is>
          <t>A-1067</t>
        </is>
      </c>
      <c r="C69" t="inlineStr">
        <is>
          <t>LED Headlight Bulb H11 Pair</t>
        </is>
      </c>
      <c r="D69" t="inlineStr">
        <is>
          <t>Accessories</t>
        </is>
      </c>
      <c r="E69" t="inlineStr">
        <is>
          <t>Lighting</t>
        </is>
      </c>
      <c r="F69" t="inlineStr">
        <is>
          <t>DC-NJ</t>
        </is>
      </c>
      <c r="G69" t="inlineStr">
        <is>
          <t>Distribution Center</t>
        </is>
      </c>
      <c r="H69" t="inlineStr">
        <is>
          <t>Northeast</t>
        </is>
      </c>
      <c r="I69" s="10" t="n">
        <v>48</v>
      </c>
      <c r="J69" s="10" t="n">
        <v>9</v>
      </c>
      <c r="K69" s="10" t="n">
        <v>52</v>
      </c>
      <c r="L69" s="11" t="n">
        <v>39.9</v>
      </c>
      <c r="M69" s="11" t="n">
        <v>60.48</v>
      </c>
      <c r="N69" s="11" t="n">
        <v>1915.2</v>
      </c>
      <c r="O69" s="12" t="n">
        <v>46018</v>
      </c>
      <c r="P69" s="12" t="n">
        <v>46023</v>
      </c>
      <c r="Q69" s="10" t="n">
        <v>186</v>
      </c>
      <c r="R69" s="10" t="n">
        <v>25</v>
      </c>
      <c r="S69" s="13" t="n">
        <v>0.3425</v>
      </c>
      <c r="T69" s="13" t="n">
        <v>0.3403</v>
      </c>
      <c r="U69" t="inlineStr">
        <is>
          <t>Healthy</t>
        </is>
      </c>
      <c r="V69" t="inlineStr">
        <is>
          <t>Monitor</t>
        </is>
      </c>
    </row>
    <row r="70">
      <c r="A70" t="inlineStr">
        <is>
          <t>INV-00068</t>
        </is>
      </c>
      <c r="B70" t="inlineStr">
        <is>
          <t>A-1068</t>
        </is>
      </c>
      <c r="C70" t="inlineStr">
        <is>
          <t>LED Headlight Bulb H11 Pair</t>
        </is>
      </c>
      <c r="D70" t="inlineStr">
        <is>
          <t>Accessories</t>
        </is>
      </c>
      <c r="E70" t="inlineStr">
        <is>
          <t>Lighting</t>
        </is>
      </c>
      <c r="F70" t="inlineStr">
        <is>
          <t>Store-Stamford</t>
        </is>
      </c>
      <c r="G70" t="inlineStr">
        <is>
          <t>Retail Store</t>
        </is>
      </c>
      <c r="H70" t="inlineStr">
        <is>
          <t>Connecticut</t>
        </is>
      </c>
      <c r="I70" s="10" t="n">
        <v>52</v>
      </c>
      <c r="J70" s="10" t="n">
        <v>12</v>
      </c>
      <c r="K70" s="10" t="n">
        <v>50</v>
      </c>
      <c r="L70" s="11" t="n">
        <v>40.9</v>
      </c>
      <c r="M70" s="11" t="n">
        <v>64.02</v>
      </c>
      <c r="N70" s="11" t="n">
        <v>2126.8</v>
      </c>
      <c r="O70" s="12" t="n">
        <v>46001</v>
      </c>
      <c r="P70" s="12" t="n">
        <v>46006</v>
      </c>
      <c r="Q70" s="10" t="n">
        <v>203</v>
      </c>
      <c r="R70" s="10" t="n">
        <v>4</v>
      </c>
      <c r="S70" s="13" t="n">
        <v>0.07140000000000001</v>
      </c>
      <c r="T70" s="13" t="n">
        <v>0.3611</v>
      </c>
      <c r="U70" t="inlineStr">
        <is>
          <t>Excess / Aged</t>
        </is>
      </c>
      <c r="V70" t="inlineStr">
        <is>
          <t>Transfer or Markdown</t>
        </is>
      </c>
    </row>
    <row r="71">
      <c r="A71" t="inlineStr">
        <is>
          <t>INV-00069</t>
        </is>
      </c>
      <c r="B71" t="inlineStr">
        <is>
          <t>SS-1069</t>
        </is>
      </c>
      <c r="C71" t="inlineStr">
        <is>
          <t>Multi-Purpose Grease 14oz</t>
        </is>
      </c>
      <c r="D71" t="inlineStr">
        <is>
          <t>Shop Supplies</t>
        </is>
      </c>
      <c r="E71" t="inlineStr">
        <is>
          <t>Lubricants</t>
        </is>
      </c>
      <c r="F71" t="inlineStr">
        <is>
          <t>Store-Stamford</t>
        </is>
      </c>
      <c r="G71" t="inlineStr">
        <is>
          <t>Retail Store</t>
        </is>
      </c>
      <c r="H71" t="inlineStr">
        <is>
          <t>Connecticut</t>
        </is>
      </c>
      <c r="I71" s="10" t="n">
        <v>17</v>
      </c>
      <c r="J71" s="10" t="n">
        <v>13</v>
      </c>
      <c r="K71" s="10" t="n">
        <v>31</v>
      </c>
      <c r="L71" s="11" t="n">
        <v>7.6</v>
      </c>
      <c r="M71" s="11" t="n">
        <v>11.6</v>
      </c>
      <c r="N71" s="11" t="n">
        <v>129.2</v>
      </c>
      <c r="O71" s="12" t="n">
        <v>45847</v>
      </c>
      <c r="P71" s="12" t="n">
        <v>45856</v>
      </c>
      <c r="Q71" s="10" t="n">
        <v>357</v>
      </c>
      <c r="R71" s="10" t="n">
        <v>30</v>
      </c>
      <c r="S71" s="13" t="n">
        <v>0.6383</v>
      </c>
      <c r="T71" s="13" t="n">
        <v>0.3448</v>
      </c>
      <c r="U71" t="inlineStr">
        <is>
          <t>Healthy</t>
        </is>
      </c>
      <c r="V71" t="inlineStr">
        <is>
          <t>Monitor</t>
        </is>
      </c>
    </row>
    <row r="72">
      <c r="A72" t="inlineStr">
        <is>
          <t>INV-00070</t>
        </is>
      </c>
      <c r="B72" t="inlineStr">
        <is>
          <t>T-1070</t>
        </is>
      </c>
      <c r="C72" t="inlineStr">
        <is>
          <t>Mavis Sport Grip 245/40R18</t>
        </is>
      </c>
      <c r="D72" t="inlineStr">
        <is>
          <t>Tires</t>
        </is>
      </c>
      <c r="E72" t="inlineStr">
        <is>
          <t>Performance</t>
        </is>
      </c>
      <c r="F72" t="inlineStr">
        <is>
          <t>Store-WhitePlains</t>
        </is>
      </c>
      <c r="G72" t="inlineStr">
        <is>
          <t>Retail Store</t>
        </is>
      </c>
      <c r="H72" t="inlineStr">
        <is>
          <t>NYC Metro</t>
        </is>
      </c>
      <c r="I72" s="10" t="n">
        <v>6</v>
      </c>
      <c r="J72" s="10" t="n">
        <v>15</v>
      </c>
      <c r="K72" s="10" t="n">
        <v>30</v>
      </c>
      <c r="L72" s="11" t="n">
        <v>121.95</v>
      </c>
      <c r="M72" s="11" t="n">
        <v>181.41</v>
      </c>
      <c r="N72" s="11" t="n">
        <v>731.7</v>
      </c>
      <c r="O72" s="12" t="n">
        <v>46011</v>
      </c>
      <c r="P72" s="12" t="n">
        <v>46023</v>
      </c>
      <c r="Q72" s="10" t="n">
        <v>193</v>
      </c>
      <c r="R72" s="10" t="n">
        <v>25</v>
      </c>
      <c r="S72" s="13" t="n">
        <v>0.8065</v>
      </c>
      <c r="T72" s="13" t="n">
        <v>0.3278</v>
      </c>
      <c r="U72" t="inlineStr">
        <is>
          <t>Stockout Risk</t>
        </is>
      </c>
      <c r="V72" t="inlineStr">
        <is>
          <t>Replenish</t>
        </is>
      </c>
    </row>
    <row r="73">
      <c r="A73" t="inlineStr">
        <is>
          <t>INV-00071</t>
        </is>
      </c>
      <c r="B73" t="inlineStr">
        <is>
          <t>B-1071</t>
        </is>
      </c>
      <c r="C73" t="inlineStr">
        <is>
          <t>Deep Cycle Marine 27DC</t>
        </is>
      </c>
      <c r="D73" t="inlineStr">
        <is>
          <t>Batteries</t>
        </is>
      </c>
      <c r="E73" t="inlineStr">
        <is>
          <t>Marine</t>
        </is>
      </c>
      <c r="F73" t="inlineStr">
        <is>
          <t>Store-Queens</t>
        </is>
      </c>
      <c r="G73" t="inlineStr">
        <is>
          <t>Retail Store</t>
        </is>
      </c>
      <c r="H73" t="inlineStr">
        <is>
          <t>NYC Metro</t>
        </is>
      </c>
      <c r="I73" s="10" t="n">
        <v>34</v>
      </c>
      <c r="J73" s="10" t="n">
        <v>8</v>
      </c>
      <c r="K73" s="10" t="n">
        <v>32</v>
      </c>
      <c r="L73" s="11" t="n">
        <v>139.83</v>
      </c>
      <c r="M73" s="11" t="n">
        <v>230.6</v>
      </c>
      <c r="N73" s="11" t="n">
        <v>4754.22</v>
      </c>
      <c r="O73" s="12" t="n">
        <v>45818</v>
      </c>
      <c r="P73" s="12" t="n">
        <v>45829</v>
      </c>
      <c r="Q73" s="10" t="n">
        <v>386</v>
      </c>
      <c r="R73" s="10" t="n">
        <v>25</v>
      </c>
      <c r="S73" s="13" t="n">
        <v>0.4237</v>
      </c>
      <c r="T73" s="13" t="n">
        <v>0.3936</v>
      </c>
      <c r="U73" t="inlineStr">
        <is>
          <t>Excess / Aged</t>
        </is>
      </c>
      <c r="V73" t="inlineStr">
        <is>
          <t>Transfer or Markdown</t>
        </is>
      </c>
    </row>
    <row r="74">
      <c r="A74" t="inlineStr">
        <is>
          <t>INV-00072</t>
        </is>
      </c>
      <c r="B74" t="inlineStr">
        <is>
          <t>T-1072</t>
        </is>
      </c>
      <c r="C74" t="inlineStr">
        <is>
          <t>Mavis Sport Grip 245/40R18</t>
        </is>
      </c>
      <c r="D74" t="inlineStr">
        <is>
          <t>Tires</t>
        </is>
      </c>
      <c r="E74" t="inlineStr">
        <is>
          <t>Performance</t>
        </is>
      </c>
      <c r="F74" t="inlineStr">
        <is>
          <t>Store-Newark</t>
        </is>
      </c>
      <c r="G74" t="inlineStr">
        <is>
          <t>Retail Store</t>
        </is>
      </c>
      <c r="H74" t="inlineStr">
        <is>
          <t>New Jersey</t>
        </is>
      </c>
      <c r="I74" s="10" t="n">
        <v>57</v>
      </c>
      <c r="J74" s="10" t="n">
        <v>16</v>
      </c>
      <c r="K74" s="10" t="n">
        <v>39</v>
      </c>
      <c r="L74" s="11" t="n">
        <v>130.71</v>
      </c>
      <c r="M74" s="11" t="n">
        <v>202.56</v>
      </c>
      <c r="N74" s="11" t="n">
        <v>7450.47</v>
      </c>
      <c r="O74" s="12" t="n">
        <v>45852</v>
      </c>
      <c r="P74" s="12" t="n">
        <v>45853</v>
      </c>
      <c r="Q74" s="10" t="n">
        <v>352</v>
      </c>
      <c r="R74" s="10" t="n">
        <v>1</v>
      </c>
      <c r="S74" s="13" t="n">
        <v>0.0172</v>
      </c>
      <c r="T74" s="13" t="n">
        <v>0.3547</v>
      </c>
      <c r="U74" t="inlineStr">
        <is>
          <t>Excess / Aged</t>
        </is>
      </c>
      <c r="V74" t="inlineStr">
        <is>
          <t>Transfer or Markdown</t>
        </is>
      </c>
    </row>
    <row r="75">
      <c r="A75" t="inlineStr">
        <is>
          <t>INV-00073</t>
        </is>
      </c>
      <c r="B75" t="inlineStr">
        <is>
          <t>BP-1073</t>
        </is>
      </c>
      <c r="C75" t="inlineStr">
        <is>
          <t>Ceramic Brake Pad Set - Front</t>
        </is>
      </c>
      <c r="D75" t="inlineStr">
        <is>
          <t>Brake Parts</t>
        </is>
      </c>
      <c r="E75" t="inlineStr">
        <is>
          <t>Pads</t>
        </is>
      </c>
      <c r="F75" t="inlineStr">
        <is>
          <t>Store-WhitePlains</t>
        </is>
      </c>
      <c r="G75" t="inlineStr">
        <is>
          <t>Retail Store</t>
        </is>
      </c>
      <c r="H75" t="inlineStr">
        <is>
          <t>NYC Metro</t>
        </is>
      </c>
      <c r="I75" s="10" t="n">
        <v>46</v>
      </c>
      <c r="J75" s="10" t="n">
        <v>16</v>
      </c>
      <c r="K75" s="10" t="n">
        <v>33</v>
      </c>
      <c r="L75" s="11" t="n">
        <v>33.36</v>
      </c>
      <c r="M75" s="11" t="n">
        <v>46.47</v>
      </c>
      <c r="N75" s="11" t="n">
        <v>1534.56</v>
      </c>
      <c r="O75" s="12" t="n">
        <v>45827</v>
      </c>
      <c r="P75" s="12" t="n">
        <v>45827</v>
      </c>
      <c r="Q75" s="10" t="n">
        <v>377</v>
      </c>
      <c r="R75" s="10" t="n">
        <v>30</v>
      </c>
      <c r="S75" s="13" t="n">
        <v>0.3947</v>
      </c>
      <c r="T75" s="13" t="n">
        <v>0.2821</v>
      </c>
      <c r="U75" t="inlineStr">
        <is>
          <t>Excess / Aged</t>
        </is>
      </c>
      <c r="V75" t="inlineStr">
        <is>
          <t>Transfer or Markdown</t>
        </is>
      </c>
    </row>
    <row r="76">
      <c r="A76" t="inlineStr">
        <is>
          <t>INV-00074</t>
        </is>
      </c>
      <c r="B76" t="inlineStr">
        <is>
          <t>SS-1074</t>
        </is>
      </c>
      <c r="C76" t="inlineStr">
        <is>
          <t>Multi-Purpose Grease 14oz</t>
        </is>
      </c>
      <c r="D76" t="inlineStr">
        <is>
          <t>Shop Supplies</t>
        </is>
      </c>
      <c r="E76" t="inlineStr">
        <is>
          <t>Lubricants</t>
        </is>
      </c>
      <c r="F76" t="inlineStr">
        <is>
          <t>Store-Yonkers</t>
        </is>
      </c>
      <c r="G76" t="inlineStr">
        <is>
          <t>Retail Store</t>
        </is>
      </c>
      <c r="H76" t="inlineStr">
        <is>
          <t>NYC Metro</t>
        </is>
      </c>
      <c r="I76" s="10" t="n">
        <v>1</v>
      </c>
      <c r="J76" s="10" t="n">
        <v>18</v>
      </c>
      <c r="K76" s="10" t="n">
        <v>38</v>
      </c>
      <c r="L76" s="11" t="n">
        <v>7.53</v>
      </c>
      <c r="M76" s="11" t="n">
        <v>10.18</v>
      </c>
      <c r="N76" s="11" t="n">
        <v>7.53</v>
      </c>
      <c r="O76" s="12" t="n">
        <v>45822</v>
      </c>
      <c r="P76" s="12" t="n">
        <v>45831</v>
      </c>
      <c r="Q76" s="10" t="n">
        <v>382</v>
      </c>
      <c r="R76" s="10" t="n">
        <v>10</v>
      </c>
      <c r="S76" s="13" t="n">
        <v>0.9091</v>
      </c>
      <c r="T76" s="13" t="n">
        <v>0.2603</v>
      </c>
      <c r="U76" t="inlineStr">
        <is>
          <t>Stockout Risk</t>
        </is>
      </c>
      <c r="V76" t="inlineStr">
        <is>
          <t>Replenish</t>
        </is>
      </c>
    </row>
    <row r="77">
      <c r="A77" t="inlineStr">
        <is>
          <t>INV-00075</t>
        </is>
      </c>
      <c r="B77" t="inlineStr">
        <is>
          <t>BP-1075</t>
        </is>
      </c>
      <c r="C77" t="inlineStr">
        <is>
          <t>Vented Brake Rotor 11.8in</t>
        </is>
      </c>
      <c r="D77" t="inlineStr">
        <is>
          <t>Brake Parts</t>
        </is>
      </c>
      <c r="E77" t="inlineStr">
        <is>
          <t>Rotors</t>
        </is>
      </c>
      <c r="F77" t="inlineStr">
        <is>
          <t>DC-NY</t>
        </is>
      </c>
      <c r="G77" t="inlineStr">
        <is>
          <t>Distribution Center</t>
        </is>
      </c>
      <c r="H77" t="inlineStr">
        <is>
          <t>Northeast</t>
        </is>
      </c>
      <c r="I77" s="10" t="n">
        <v>84</v>
      </c>
      <c r="J77" s="10" t="n">
        <v>18</v>
      </c>
      <c r="K77" s="10" t="n">
        <v>51</v>
      </c>
      <c r="L77" s="11" t="n">
        <v>50.61</v>
      </c>
      <c r="M77" s="11" t="n">
        <v>69.19</v>
      </c>
      <c r="N77" s="11" t="n">
        <v>4251.24</v>
      </c>
      <c r="O77" s="12" t="n">
        <v>45867</v>
      </c>
      <c r="P77" s="12" t="n">
        <v>45870</v>
      </c>
      <c r="Q77" s="10" t="n">
        <v>337</v>
      </c>
      <c r="R77" s="10" t="n">
        <v>33</v>
      </c>
      <c r="S77" s="13" t="n">
        <v>0.2821</v>
      </c>
      <c r="T77" s="13" t="n">
        <v>0.2685</v>
      </c>
      <c r="U77" t="inlineStr">
        <is>
          <t>Excess / Aged</t>
        </is>
      </c>
      <c r="V77" t="inlineStr">
        <is>
          <t>Transfer or Markdown</t>
        </is>
      </c>
    </row>
    <row r="78">
      <c r="A78" t="inlineStr">
        <is>
          <t>INV-00076</t>
        </is>
      </c>
      <c r="B78" t="inlineStr">
        <is>
          <t>T-1076</t>
        </is>
      </c>
      <c r="C78" t="inlineStr">
        <is>
          <t>OBD-II Code Reader Pro</t>
        </is>
      </c>
      <c r="D78" t="inlineStr">
        <is>
          <t>Tools</t>
        </is>
      </c>
      <c r="E78" t="inlineStr">
        <is>
          <t>Diagnostic</t>
        </is>
      </c>
      <c r="F78" t="inlineStr">
        <is>
          <t>Store-Yonkers</t>
        </is>
      </c>
      <c r="G78" t="inlineStr">
        <is>
          <t>Retail Store</t>
        </is>
      </c>
      <c r="H78" t="inlineStr">
        <is>
          <t>NYC Metro</t>
        </is>
      </c>
      <c r="I78" s="10" t="n">
        <v>11</v>
      </c>
      <c r="J78" s="10" t="n">
        <v>20</v>
      </c>
      <c r="K78" s="10" t="n">
        <v>62</v>
      </c>
      <c r="L78" s="11" t="n">
        <v>133.36</v>
      </c>
      <c r="M78" s="11" t="n">
        <v>181.64</v>
      </c>
      <c r="N78" s="11" t="n">
        <v>1466.96</v>
      </c>
      <c r="O78" s="12" t="n">
        <v>45879</v>
      </c>
      <c r="P78" s="12" t="n">
        <v>45889</v>
      </c>
      <c r="Q78" s="10" t="n">
        <v>325</v>
      </c>
      <c r="R78" s="10" t="n">
        <v>29</v>
      </c>
      <c r="S78" s="13" t="n">
        <v>0.725</v>
      </c>
      <c r="T78" s="13" t="n">
        <v>0.2658</v>
      </c>
      <c r="U78" t="inlineStr">
        <is>
          <t>Stockout Risk</t>
        </is>
      </c>
      <c r="V78" t="inlineStr">
        <is>
          <t>Replenish</t>
        </is>
      </c>
    </row>
    <row r="79">
      <c r="A79" t="inlineStr">
        <is>
          <t>INV-00077</t>
        </is>
      </c>
      <c r="B79" t="inlineStr">
        <is>
          <t>F-1077</t>
        </is>
      </c>
      <c r="C79" t="inlineStr">
        <is>
          <t>Cabin Air Filter CF-1180</t>
        </is>
      </c>
      <c r="D79" t="inlineStr">
        <is>
          <t>Filters</t>
        </is>
      </c>
      <c r="E79" t="inlineStr">
        <is>
          <t>Cabin</t>
        </is>
      </c>
      <c r="F79" t="inlineStr">
        <is>
          <t>DC-PA</t>
        </is>
      </c>
      <c r="G79" t="inlineStr">
        <is>
          <t>Distribution Center</t>
        </is>
      </c>
      <c r="H79" t="inlineStr">
        <is>
          <t>Northeast</t>
        </is>
      </c>
      <c r="I79" s="10" t="n">
        <v>43</v>
      </c>
      <c r="J79" s="10" t="n">
        <v>9</v>
      </c>
      <c r="K79" s="10" t="n">
        <v>27</v>
      </c>
      <c r="L79" s="11" t="n">
        <v>16.71</v>
      </c>
      <c r="M79" s="11" t="n">
        <v>26.83</v>
      </c>
      <c r="N79" s="11" t="n">
        <v>718.53</v>
      </c>
      <c r="O79" s="12" t="n">
        <v>45990</v>
      </c>
      <c r="P79" s="12" t="n">
        <v>46001</v>
      </c>
      <c r="Q79" s="10" t="n">
        <v>214</v>
      </c>
      <c r="R79" s="10" t="n">
        <v>18</v>
      </c>
      <c r="S79" s="13" t="n">
        <v>0.2951</v>
      </c>
      <c r="T79" s="13" t="n">
        <v>0.3772</v>
      </c>
      <c r="U79" t="inlineStr">
        <is>
          <t>Excess / Aged</t>
        </is>
      </c>
      <c r="V79" t="inlineStr">
        <is>
          <t>Transfer or Markdown</t>
        </is>
      </c>
    </row>
    <row r="80">
      <c r="A80" t="inlineStr">
        <is>
          <t>INV-00078</t>
        </is>
      </c>
      <c r="B80" t="inlineStr">
        <is>
          <t>F-1078</t>
        </is>
      </c>
      <c r="C80" t="inlineStr">
        <is>
          <t>Cabin Air Filter CF-1180</t>
        </is>
      </c>
      <c r="D80" t="inlineStr">
        <is>
          <t>Filters</t>
        </is>
      </c>
      <c r="E80" t="inlineStr">
        <is>
          <t>Cabin</t>
        </is>
      </c>
      <c r="F80" t="inlineStr">
        <is>
          <t>DC-NJ</t>
        </is>
      </c>
      <c r="G80" t="inlineStr">
        <is>
          <t>Distribution Center</t>
        </is>
      </c>
      <c r="H80" t="inlineStr">
        <is>
          <t>Northeast</t>
        </is>
      </c>
      <c r="I80" s="10" t="n">
        <v>4</v>
      </c>
      <c r="J80" s="10" t="n">
        <v>18</v>
      </c>
      <c r="K80" s="10" t="n">
        <v>55</v>
      </c>
      <c r="L80" s="11" t="n">
        <v>16.85</v>
      </c>
      <c r="M80" s="11" t="n">
        <v>27.7</v>
      </c>
      <c r="N80" s="11" t="n">
        <v>67.40000000000001</v>
      </c>
      <c r="O80" s="12" t="n">
        <v>46119</v>
      </c>
      <c r="P80" s="12" t="n">
        <v>46123</v>
      </c>
      <c r="Q80" s="10" t="n">
        <v>85</v>
      </c>
      <c r="R80" s="10" t="n">
        <v>0</v>
      </c>
      <c r="S80" s="13" t="n">
        <v>0</v>
      </c>
      <c r="T80" s="13" t="n">
        <v>0.3917</v>
      </c>
      <c r="U80" t="inlineStr">
        <is>
          <t>Stockout Risk</t>
        </is>
      </c>
      <c r="V80" t="inlineStr">
        <is>
          <t>Replenish</t>
        </is>
      </c>
    </row>
    <row r="81">
      <c r="A81" t="inlineStr">
        <is>
          <t>INV-00079</t>
        </is>
      </c>
      <c r="B81" t="inlineStr">
        <is>
          <t>T-1079</t>
        </is>
      </c>
      <c r="C81" t="inlineStr">
        <is>
          <t>Hydraulic Floor Jack 3-Ton</t>
        </is>
      </c>
      <c r="D81" t="inlineStr">
        <is>
          <t>Tools</t>
        </is>
      </c>
      <c r="E81" t="inlineStr">
        <is>
          <t>Lifts</t>
        </is>
      </c>
      <c r="F81" t="inlineStr">
        <is>
          <t>Store-Manhattan</t>
        </is>
      </c>
      <c r="G81" t="inlineStr">
        <is>
          <t>Retail Store</t>
        </is>
      </c>
      <c r="H81" t="inlineStr">
        <is>
          <t>NYC Metro</t>
        </is>
      </c>
      <c r="I81" s="10" t="n">
        <v>4</v>
      </c>
      <c r="J81" s="10" t="n">
        <v>14</v>
      </c>
      <c r="K81" s="10" t="n">
        <v>30</v>
      </c>
      <c r="L81" s="11" t="n">
        <v>171.34</v>
      </c>
      <c r="M81" s="11" t="n">
        <v>267.78</v>
      </c>
      <c r="N81" s="11" t="n">
        <v>685.36</v>
      </c>
      <c r="O81" s="12" t="n">
        <v>45944</v>
      </c>
      <c r="P81" s="12" t="n">
        <v>45944</v>
      </c>
      <c r="Q81" s="10" t="n">
        <v>260</v>
      </c>
      <c r="R81" s="10" t="n">
        <v>0</v>
      </c>
      <c r="S81" s="13" t="n">
        <v>0</v>
      </c>
      <c r="T81" s="13" t="n">
        <v>0.3601</v>
      </c>
      <c r="U81" t="inlineStr">
        <is>
          <t>Stockout Risk</t>
        </is>
      </c>
      <c r="V81" t="inlineStr">
        <is>
          <t>Replenish</t>
        </is>
      </c>
    </row>
    <row r="82">
      <c r="A82" t="inlineStr">
        <is>
          <t>INV-00080</t>
        </is>
      </c>
      <c r="B82" t="inlineStr">
        <is>
          <t>F-1080</t>
        </is>
      </c>
      <c r="C82" t="inlineStr">
        <is>
          <t>Engine Air Filter AF-9921</t>
        </is>
      </c>
      <c r="D82" t="inlineStr">
        <is>
          <t>Filters</t>
        </is>
      </c>
      <c r="E82" t="inlineStr">
        <is>
          <t>Air</t>
        </is>
      </c>
      <c r="F82" t="inlineStr">
        <is>
          <t>DC-NJ</t>
        </is>
      </c>
      <c r="G82" t="inlineStr">
        <is>
          <t>Distribution Center</t>
        </is>
      </c>
      <c r="H82" t="inlineStr">
        <is>
          <t>Northeast</t>
        </is>
      </c>
      <c r="I82" s="10" t="n">
        <v>49</v>
      </c>
      <c r="J82" s="10" t="n">
        <v>12</v>
      </c>
      <c r="K82" s="10" t="n">
        <v>29</v>
      </c>
      <c r="L82" s="11" t="n">
        <v>14.14</v>
      </c>
      <c r="M82" s="11" t="n">
        <v>22.42</v>
      </c>
      <c r="N82" s="11" t="n">
        <v>692.86</v>
      </c>
      <c r="O82" s="12" t="n">
        <v>46123</v>
      </c>
      <c r="P82" s="12" t="n">
        <v>46137</v>
      </c>
      <c r="Q82" s="10" t="n">
        <v>81</v>
      </c>
      <c r="R82" s="10" t="n">
        <v>13</v>
      </c>
      <c r="S82" s="13" t="n">
        <v>0.2097</v>
      </c>
      <c r="T82" s="13" t="n">
        <v>0.3693</v>
      </c>
      <c r="U82" t="inlineStr">
        <is>
          <t>Excess</t>
        </is>
      </c>
      <c r="V82" t="inlineStr">
        <is>
          <t>Review Transfer</t>
        </is>
      </c>
    </row>
    <row r="83">
      <c r="A83" t="inlineStr">
        <is>
          <t>INV-00081</t>
        </is>
      </c>
      <c r="B83" t="inlineStr">
        <is>
          <t>B-1081</t>
        </is>
      </c>
      <c r="C83" t="inlineStr">
        <is>
          <t>Mavis PowerStart 24F</t>
        </is>
      </c>
      <c r="D83" t="inlineStr">
        <is>
          <t>Batteries</t>
        </is>
      </c>
      <c r="E83" t="inlineStr">
        <is>
          <t>Automotive</t>
        </is>
      </c>
      <c r="F83" t="inlineStr">
        <is>
          <t>Store-WhitePlains</t>
        </is>
      </c>
      <c r="G83" t="inlineStr">
        <is>
          <t>Retail Store</t>
        </is>
      </c>
      <c r="H83" t="inlineStr">
        <is>
          <t>NYC Metro</t>
        </is>
      </c>
      <c r="I83" s="10" t="n">
        <v>38</v>
      </c>
      <c r="J83" s="10" t="n">
        <v>19</v>
      </c>
      <c r="K83" s="10" t="n">
        <v>51</v>
      </c>
      <c r="L83" s="11" t="n">
        <v>117.61</v>
      </c>
      <c r="M83" s="11" t="n">
        <v>179.17</v>
      </c>
      <c r="N83" s="11" t="n">
        <v>4469.18</v>
      </c>
      <c r="O83" s="12" t="n">
        <v>46139</v>
      </c>
      <c r="P83" s="12" t="n">
        <v>46153</v>
      </c>
      <c r="Q83" s="10" t="n">
        <v>65</v>
      </c>
      <c r="R83" s="10" t="n">
        <v>8</v>
      </c>
      <c r="S83" s="13" t="n">
        <v>0.1739</v>
      </c>
      <c r="T83" s="13" t="n">
        <v>0.3436</v>
      </c>
      <c r="U83" t="inlineStr">
        <is>
          <t>Healthy</t>
        </is>
      </c>
      <c r="V83" t="inlineStr">
        <is>
          <t>Monitor</t>
        </is>
      </c>
    </row>
    <row r="84">
      <c r="A84" t="inlineStr">
        <is>
          <t>INV-00082</t>
        </is>
      </c>
      <c r="B84" t="inlineStr">
        <is>
          <t>F-1082</t>
        </is>
      </c>
      <c r="C84" t="inlineStr">
        <is>
          <t>Extended Life Coolant 1gal</t>
        </is>
      </c>
      <c r="D84" t="inlineStr">
        <is>
          <t>Fluids</t>
        </is>
      </c>
      <c r="E84" t="inlineStr">
        <is>
          <t>Coolant</t>
        </is>
      </c>
      <c r="F84" t="inlineStr">
        <is>
          <t>Store-WhitePlains</t>
        </is>
      </c>
      <c r="G84" t="inlineStr">
        <is>
          <t>Retail Store</t>
        </is>
      </c>
      <c r="H84" t="inlineStr">
        <is>
          <t>NYC Metro</t>
        </is>
      </c>
      <c r="I84" s="10" t="n">
        <v>35</v>
      </c>
      <c r="J84" s="10" t="n">
        <v>11</v>
      </c>
      <c r="K84" s="10" t="n">
        <v>45</v>
      </c>
      <c r="L84" s="11" t="n">
        <v>18.52</v>
      </c>
      <c r="M84" s="11" t="n">
        <v>27.25</v>
      </c>
      <c r="N84" s="11" t="n">
        <v>648.2</v>
      </c>
      <c r="O84" s="12" t="n">
        <v>45809</v>
      </c>
      <c r="P84" s="12" t="n">
        <v>45811</v>
      </c>
      <c r="Q84" s="10" t="n">
        <v>395</v>
      </c>
      <c r="R84" s="10" t="n">
        <v>5</v>
      </c>
      <c r="S84" s="13" t="n">
        <v>0.125</v>
      </c>
      <c r="T84" s="13" t="n">
        <v>0.3204</v>
      </c>
      <c r="U84" t="inlineStr">
        <is>
          <t>Slow-Moving</t>
        </is>
      </c>
      <c r="V84" t="inlineStr">
        <is>
          <t>Markdown Review</t>
        </is>
      </c>
    </row>
    <row r="85">
      <c r="A85" t="inlineStr">
        <is>
          <t>INV-00083</t>
        </is>
      </c>
      <c r="B85" t="inlineStr">
        <is>
          <t>A-1083</t>
        </is>
      </c>
      <c r="C85" t="inlineStr">
        <is>
          <t>Serpentine Belt 6-Rib 68in</t>
        </is>
      </c>
      <c r="D85" t="inlineStr">
        <is>
          <t>Accessories</t>
        </is>
      </c>
      <c r="E85" t="inlineStr">
        <is>
          <t>Belts</t>
        </is>
      </c>
      <c r="F85" t="inlineStr">
        <is>
          <t>Store-Brooklyn</t>
        </is>
      </c>
      <c r="G85" t="inlineStr">
        <is>
          <t>Retail Store</t>
        </is>
      </c>
      <c r="H85" t="inlineStr">
        <is>
          <t>NYC Metro</t>
        </is>
      </c>
      <c r="I85" s="10" t="n">
        <v>60</v>
      </c>
      <c r="J85" s="10" t="n">
        <v>9</v>
      </c>
      <c r="K85" s="10" t="n">
        <v>27</v>
      </c>
      <c r="L85" s="11" t="n">
        <v>24.02</v>
      </c>
      <c r="M85" s="11" t="n">
        <v>35.51</v>
      </c>
      <c r="N85" s="11" t="n">
        <v>1441.2</v>
      </c>
      <c r="O85" s="12" t="n">
        <v>46144</v>
      </c>
      <c r="P85" s="12" t="n">
        <v>46148</v>
      </c>
      <c r="Q85" s="10" t="n">
        <v>60</v>
      </c>
      <c r="R85" s="10" t="n">
        <v>33</v>
      </c>
      <c r="S85" s="13" t="n">
        <v>0.3548</v>
      </c>
      <c r="T85" s="13" t="n">
        <v>0.3236</v>
      </c>
      <c r="U85" t="inlineStr">
        <is>
          <t>Excess</t>
        </is>
      </c>
      <c r="V85" t="inlineStr">
        <is>
          <t>Review Transfer</t>
        </is>
      </c>
    </row>
    <row r="86">
      <c r="A86" t="inlineStr">
        <is>
          <t>INV-00084</t>
        </is>
      </c>
      <c r="B86" t="inlineStr">
        <is>
          <t>SS-1084</t>
        </is>
      </c>
      <c r="C86" t="inlineStr">
        <is>
          <t>Nitrile Gloves Box/100</t>
        </is>
      </c>
      <c r="D86" t="inlineStr">
        <is>
          <t>Shop Supplies</t>
        </is>
      </c>
      <c r="E86" t="inlineStr">
        <is>
          <t>Safety</t>
        </is>
      </c>
      <c r="F86" t="inlineStr">
        <is>
          <t>Store-Manhattan</t>
        </is>
      </c>
      <c r="G86" t="inlineStr">
        <is>
          <t>Retail Store</t>
        </is>
      </c>
      <c r="H86" t="inlineStr">
        <is>
          <t>NYC Metro</t>
        </is>
      </c>
      <c r="I86" s="10" t="n">
        <v>79</v>
      </c>
      <c r="J86" s="10" t="n">
        <v>13</v>
      </c>
      <c r="K86" s="10" t="n">
        <v>47</v>
      </c>
      <c r="L86" s="11" t="n">
        <v>18.22</v>
      </c>
      <c r="M86" s="11" t="n">
        <v>27.81</v>
      </c>
      <c r="N86" s="11" t="n">
        <v>1439.38</v>
      </c>
      <c r="O86" s="12" t="n">
        <v>46029</v>
      </c>
      <c r="P86" s="12" t="n">
        <v>46035</v>
      </c>
      <c r="Q86" s="10" t="n">
        <v>175</v>
      </c>
      <c r="R86" s="10" t="n">
        <v>5</v>
      </c>
      <c r="S86" s="13" t="n">
        <v>0.0595</v>
      </c>
      <c r="T86" s="13" t="n">
        <v>0.3448</v>
      </c>
      <c r="U86" t="inlineStr">
        <is>
          <t>Excess</t>
        </is>
      </c>
      <c r="V86" t="inlineStr">
        <is>
          <t>Review Transfer</t>
        </is>
      </c>
    </row>
    <row r="87">
      <c r="A87" t="inlineStr">
        <is>
          <t>INV-00085</t>
        </is>
      </c>
      <c r="B87" t="inlineStr">
        <is>
          <t>F-1085</t>
        </is>
      </c>
      <c r="C87" t="inlineStr">
        <is>
          <t>ATF+4 Transmission Fluid 1qt</t>
        </is>
      </c>
      <c r="D87" t="inlineStr">
        <is>
          <t>Fluids</t>
        </is>
      </c>
      <c r="E87" t="inlineStr">
        <is>
          <t>Transmission</t>
        </is>
      </c>
      <c r="F87" t="inlineStr">
        <is>
          <t>Store-Bronx</t>
        </is>
      </c>
      <c r="G87" t="inlineStr">
        <is>
          <t>Retail Store</t>
        </is>
      </c>
      <c r="H87" t="inlineStr">
        <is>
          <t>NYC Metro</t>
        </is>
      </c>
      <c r="I87" s="10" t="n">
        <v>20</v>
      </c>
      <c r="J87" s="10" t="n">
        <v>19</v>
      </c>
      <c r="K87" s="10" t="n">
        <v>35</v>
      </c>
      <c r="L87" s="11" t="n">
        <v>9.529999999999999</v>
      </c>
      <c r="M87" s="11" t="n">
        <v>14.5</v>
      </c>
      <c r="N87" s="11" t="n">
        <v>190.6</v>
      </c>
      <c r="O87" s="12" t="n">
        <v>46026</v>
      </c>
      <c r="P87" s="12" t="n">
        <v>46033</v>
      </c>
      <c r="Q87" s="10" t="n">
        <v>178</v>
      </c>
      <c r="R87" s="10" t="n">
        <v>16</v>
      </c>
      <c r="S87" s="13" t="n">
        <v>0.4444</v>
      </c>
      <c r="T87" s="13" t="n">
        <v>0.3428</v>
      </c>
      <c r="U87" t="inlineStr">
        <is>
          <t>Healthy</t>
        </is>
      </c>
      <c r="V87" t="inlineStr">
        <is>
          <t>Monitor</t>
        </is>
      </c>
    </row>
    <row r="88">
      <c r="A88" t="inlineStr">
        <is>
          <t>INV-00086</t>
        </is>
      </c>
      <c r="B88" t="inlineStr">
        <is>
          <t>B-1086</t>
        </is>
      </c>
      <c r="C88" t="inlineStr">
        <is>
          <t>Economy Battery 35R</t>
        </is>
      </c>
      <c r="D88" t="inlineStr">
        <is>
          <t>Batteries</t>
        </is>
      </c>
      <c r="E88" t="inlineStr">
        <is>
          <t>Standard</t>
        </is>
      </c>
      <c r="F88" t="inlineStr">
        <is>
          <t>Store-Manhattan</t>
        </is>
      </c>
      <c r="G88" t="inlineStr">
        <is>
          <t>Retail Store</t>
        </is>
      </c>
      <c r="H88" t="inlineStr">
        <is>
          <t>NYC Metro</t>
        </is>
      </c>
      <c r="I88" s="10" t="n">
        <v>47</v>
      </c>
      <c r="J88" s="10" t="n">
        <v>15</v>
      </c>
      <c r="K88" s="10" t="n">
        <v>51</v>
      </c>
      <c r="L88" s="11" t="n">
        <v>87.36</v>
      </c>
      <c r="M88" s="11" t="n">
        <v>138.57</v>
      </c>
      <c r="N88" s="11" t="n">
        <v>4105.92</v>
      </c>
      <c r="O88" s="12" t="n">
        <v>45931</v>
      </c>
      <c r="P88" s="12" t="n">
        <v>45940</v>
      </c>
      <c r="Q88" s="10" t="n">
        <v>273</v>
      </c>
      <c r="R88" s="10" t="n">
        <v>20</v>
      </c>
      <c r="S88" s="13" t="n">
        <v>0.2985</v>
      </c>
      <c r="T88" s="13" t="n">
        <v>0.3696</v>
      </c>
      <c r="U88" t="inlineStr">
        <is>
          <t>Healthy</t>
        </is>
      </c>
      <c r="V88" t="inlineStr">
        <is>
          <t>Monitor</t>
        </is>
      </c>
    </row>
    <row r="89">
      <c r="A89" t="inlineStr">
        <is>
          <t>INV-00087</t>
        </is>
      </c>
      <c r="B89" t="inlineStr">
        <is>
          <t>B-1087</t>
        </is>
      </c>
      <c r="C89" t="inlineStr">
        <is>
          <t>Deep Cycle Marine 27DC</t>
        </is>
      </c>
      <c r="D89" t="inlineStr">
        <is>
          <t>Batteries</t>
        </is>
      </c>
      <c r="E89" t="inlineStr">
        <is>
          <t>Marine</t>
        </is>
      </c>
      <c r="F89" t="inlineStr">
        <is>
          <t>Store-Manhattan</t>
        </is>
      </c>
      <c r="G89" t="inlineStr">
        <is>
          <t>Retail Store</t>
        </is>
      </c>
      <c r="H89" t="inlineStr">
        <is>
          <t>NYC Metro</t>
        </is>
      </c>
      <c r="I89" s="10" t="n">
        <v>38</v>
      </c>
      <c r="J89" s="10" t="n">
        <v>10</v>
      </c>
      <c r="K89" s="10" t="n">
        <v>37</v>
      </c>
      <c r="L89" s="11" t="n">
        <v>145.69</v>
      </c>
      <c r="M89" s="11" t="n">
        <v>228.88</v>
      </c>
      <c r="N89" s="11" t="n">
        <v>5536.22</v>
      </c>
      <c r="O89" s="12" t="n">
        <v>45940</v>
      </c>
      <c r="P89" s="12" t="n">
        <v>45945</v>
      </c>
      <c r="Q89" s="10" t="n">
        <v>264</v>
      </c>
      <c r="R89" s="10" t="n">
        <v>18</v>
      </c>
      <c r="S89" s="13" t="n">
        <v>0.3214</v>
      </c>
      <c r="T89" s="13" t="n">
        <v>0.3635</v>
      </c>
      <c r="U89" t="inlineStr">
        <is>
          <t>Excess / Aged</t>
        </is>
      </c>
      <c r="V89" t="inlineStr">
        <is>
          <t>Transfer or Markdown</t>
        </is>
      </c>
    </row>
    <row r="90">
      <c r="A90" t="inlineStr">
        <is>
          <t>INV-00088</t>
        </is>
      </c>
      <c r="B90" t="inlineStr">
        <is>
          <t>F-1088</t>
        </is>
      </c>
      <c r="C90" t="inlineStr">
        <is>
          <t>Extended Life Coolant 1gal</t>
        </is>
      </c>
      <c r="D90" t="inlineStr">
        <is>
          <t>Fluids</t>
        </is>
      </c>
      <c r="E90" t="inlineStr">
        <is>
          <t>Coolant</t>
        </is>
      </c>
      <c r="F90" t="inlineStr">
        <is>
          <t>Store-Newark</t>
        </is>
      </c>
      <c r="G90" t="inlineStr">
        <is>
          <t>Retail Store</t>
        </is>
      </c>
      <c r="H90" t="inlineStr">
        <is>
          <t>New Jersey</t>
        </is>
      </c>
      <c r="I90" s="10" t="n">
        <v>73</v>
      </c>
      <c r="J90" s="10" t="n">
        <v>9</v>
      </c>
      <c r="K90" s="10" t="n">
        <v>51</v>
      </c>
      <c r="L90" s="11" t="n">
        <v>19.05</v>
      </c>
      <c r="M90" s="11" t="n">
        <v>27.51</v>
      </c>
      <c r="N90" s="11" t="n">
        <v>1390.65</v>
      </c>
      <c r="O90" s="12" t="n">
        <v>45990</v>
      </c>
      <c r="P90" s="12" t="n">
        <v>45997</v>
      </c>
      <c r="Q90" s="10" t="n">
        <v>214</v>
      </c>
      <c r="R90" s="10" t="n">
        <v>25</v>
      </c>
      <c r="S90" s="13" t="n">
        <v>0.2551</v>
      </c>
      <c r="T90" s="13" t="n">
        <v>0.3075</v>
      </c>
      <c r="U90" t="inlineStr">
        <is>
          <t>Excess / Aged</t>
        </is>
      </c>
      <c r="V90" t="inlineStr">
        <is>
          <t>Transfer or Markdown</t>
        </is>
      </c>
    </row>
    <row r="91">
      <c r="A91" t="inlineStr">
        <is>
          <t>INV-00089</t>
        </is>
      </c>
      <c r="B91" t="inlineStr">
        <is>
          <t>F-1089</t>
        </is>
      </c>
      <c r="C91" t="inlineStr">
        <is>
          <t>Synthetic Motor Oil 5W-30 5qt</t>
        </is>
      </c>
      <c r="D91" t="inlineStr">
        <is>
          <t>Fluids</t>
        </is>
      </c>
      <c r="E91" t="inlineStr">
        <is>
          <t>Motor Oil</t>
        </is>
      </c>
      <c r="F91" t="inlineStr">
        <is>
          <t>Store-Newark</t>
        </is>
      </c>
      <c r="G91" t="inlineStr">
        <is>
          <t>Retail Store</t>
        </is>
      </c>
      <c r="H91" t="inlineStr">
        <is>
          <t>New Jersey</t>
        </is>
      </c>
      <c r="I91" s="10" t="n">
        <v>3</v>
      </c>
      <c r="J91" s="10" t="n">
        <v>12</v>
      </c>
      <c r="K91" s="10" t="n">
        <v>41</v>
      </c>
      <c r="L91" s="11" t="n">
        <v>29.98</v>
      </c>
      <c r="M91" s="11" t="n">
        <v>40.97</v>
      </c>
      <c r="N91" s="11" t="n">
        <v>89.94</v>
      </c>
      <c r="O91" s="12" t="n">
        <v>46151</v>
      </c>
      <c r="P91" s="12" t="n">
        <v>46152</v>
      </c>
      <c r="Q91" s="10" t="n">
        <v>53</v>
      </c>
      <c r="R91" s="10" t="n">
        <v>1</v>
      </c>
      <c r="S91" s="13" t="n">
        <v>0.25</v>
      </c>
      <c r="T91" s="13" t="n">
        <v>0.2682</v>
      </c>
      <c r="U91" t="inlineStr">
        <is>
          <t>Stockout Risk</t>
        </is>
      </c>
      <c r="V91" t="inlineStr">
        <is>
          <t>Replenish</t>
        </is>
      </c>
    </row>
    <row r="92">
      <c r="A92" t="inlineStr">
        <is>
          <t>INV-00090</t>
        </is>
      </c>
      <c r="B92" t="inlineStr">
        <is>
          <t>T-1090</t>
        </is>
      </c>
      <c r="C92" t="inlineStr">
        <is>
          <t>Mavis SnowTrack 205/55R16</t>
        </is>
      </c>
      <c r="D92" t="inlineStr">
        <is>
          <t>Tires</t>
        </is>
      </c>
      <c r="E92" t="inlineStr">
        <is>
          <t>Winter</t>
        </is>
      </c>
      <c r="F92" t="inlineStr">
        <is>
          <t>Store-Bronx</t>
        </is>
      </c>
      <c r="G92" t="inlineStr">
        <is>
          <t>Retail Store</t>
        </is>
      </c>
      <c r="H92" t="inlineStr">
        <is>
          <t>NYC Metro</t>
        </is>
      </c>
      <c r="I92" s="10" t="n">
        <v>36</v>
      </c>
      <c r="J92" s="10" t="n">
        <v>15</v>
      </c>
      <c r="K92" s="10" t="n">
        <v>40</v>
      </c>
      <c r="L92" s="11" t="n">
        <v>101.15</v>
      </c>
      <c r="M92" s="11" t="n">
        <v>137</v>
      </c>
      <c r="N92" s="11" t="n">
        <v>3641.4</v>
      </c>
      <c r="O92" s="12" t="n">
        <v>46128</v>
      </c>
      <c r="P92" s="12" t="n">
        <v>46132</v>
      </c>
      <c r="Q92" s="10" t="n">
        <v>76</v>
      </c>
      <c r="R92" s="10" t="n">
        <v>25</v>
      </c>
      <c r="S92" s="13" t="n">
        <v>0.4098</v>
      </c>
      <c r="T92" s="13" t="n">
        <v>0.2617</v>
      </c>
      <c r="U92" t="inlineStr">
        <is>
          <t>Healthy</t>
        </is>
      </c>
      <c r="V92" t="inlineStr">
        <is>
          <t>Monitor</t>
        </is>
      </c>
    </row>
    <row r="93">
      <c r="A93" t="inlineStr">
        <is>
          <t>INV-00091</t>
        </is>
      </c>
      <c r="B93" t="inlineStr">
        <is>
          <t>F-1091</t>
        </is>
      </c>
      <c r="C93" t="inlineStr">
        <is>
          <t>Engine Air Filter AF-9921</t>
        </is>
      </c>
      <c r="D93" t="inlineStr">
        <is>
          <t>Filters</t>
        </is>
      </c>
      <c r="E93" t="inlineStr">
        <is>
          <t>Air</t>
        </is>
      </c>
      <c r="F93" t="inlineStr">
        <is>
          <t>Store-Newark</t>
        </is>
      </c>
      <c r="G93" t="inlineStr">
        <is>
          <t>Retail Store</t>
        </is>
      </c>
      <c r="H93" t="inlineStr">
        <is>
          <t>New Jersey</t>
        </is>
      </c>
      <c r="I93" s="10" t="n">
        <v>38</v>
      </c>
      <c r="J93" s="10" t="n">
        <v>17</v>
      </c>
      <c r="K93" s="10" t="n">
        <v>57</v>
      </c>
      <c r="L93" s="11" t="n">
        <v>14.34</v>
      </c>
      <c r="M93" s="11" t="n">
        <v>19.87</v>
      </c>
      <c r="N93" s="11" t="n">
        <v>544.92</v>
      </c>
      <c r="O93" s="12" t="n">
        <v>46045</v>
      </c>
      <c r="P93" s="12" t="n">
        <v>46047</v>
      </c>
      <c r="Q93" s="10" t="n">
        <v>159</v>
      </c>
      <c r="R93" s="10" t="n">
        <v>24</v>
      </c>
      <c r="S93" s="13" t="n">
        <v>0.3871</v>
      </c>
      <c r="T93" s="13" t="n">
        <v>0.2783</v>
      </c>
      <c r="U93" t="inlineStr">
        <is>
          <t>Healthy</t>
        </is>
      </c>
      <c r="V93" t="inlineStr">
        <is>
          <t>Monitor</t>
        </is>
      </c>
    </row>
    <row r="94">
      <c r="A94" t="inlineStr">
        <is>
          <t>INV-00092</t>
        </is>
      </c>
      <c r="B94" t="inlineStr">
        <is>
          <t>F-1092</t>
        </is>
      </c>
      <c r="C94" t="inlineStr">
        <is>
          <t>Synthetic Motor Oil 5W-30 5qt</t>
        </is>
      </c>
      <c r="D94" t="inlineStr">
        <is>
          <t>Fluids</t>
        </is>
      </c>
      <c r="E94" t="inlineStr">
        <is>
          <t>Motor Oil</t>
        </is>
      </c>
      <c r="F94" t="inlineStr">
        <is>
          <t>Store-Queens</t>
        </is>
      </c>
      <c r="G94" t="inlineStr">
        <is>
          <t>Retail Store</t>
        </is>
      </c>
      <c r="H94" t="inlineStr">
        <is>
          <t>NYC Metro</t>
        </is>
      </c>
      <c r="I94" s="10" t="n">
        <v>7</v>
      </c>
      <c r="J94" s="10" t="n">
        <v>14</v>
      </c>
      <c r="K94" s="10" t="n">
        <v>57</v>
      </c>
      <c r="L94" s="11" t="n">
        <v>28.44</v>
      </c>
      <c r="M94" s="11" t="n">
        <v>44.26</v>
      </c>
      <c r="N94" s="11" t="n">
        <v>199.08</v>
      </c>
      <c r="O94" s="12" t="n">
        <v>45786</v>
      </c>
      <c r="P94" s="12" t="n">
        <v>45797</v>
      </c>
      <c r="Q94" s="10" t="n">
        <v>418</v>
      </c>
      <c r="R94" s="10" t="n">
        <v>15</v>
      </c>
      <c r="S94" s="13" t="n">
        <v>0.6818</v>
      </c>
      <c r="T94" s="13" t="n">
        <v>0.3574</v>
      </c>
      <c r="U94" t="inlineStr">
        <is>
          <t>Stockout Risk</t>
        </is>
      </c>
      <c r="V94" t="inlineStr">
        <is>
          <t>Replenish</t>
        </is>
      </c>
    </row>
    <row r="95">
      <c r="A95" t="inlineStr">
        <is>
          <t>INV-00093</t>
        </is>
      </c>
      <c r="B95" t="inlineStr">
        <is>
          <t>BP-1093</t>
        </is>
      </c>
      <c r="C95" t="inlineStr">
        <is>
          <t>Ceramic Brake Pad Set - Front</t>
        </is>
      </c>
      <c r="D95" t="inlineStr">
        <is>
          <t>Brake Parts</t>
        </is>
      </c>
      <c r="E95" t="inlineStr">
        <is>
          <t>Pads</t>
        </is>
      </c>
      <c r="F95" t="inlineStr">
        <is>
          <t>Store-WhitePlains</t>
        </is>
      </c>
      <c r="G95" t="inlineStr">
        <is>
          <t>Retail Store</t>
        </is>
      </c>
      <c r="H95" t="inlineStr">
        <is>
          <t>NYC Metro</t>
        </is>
      </c>
      <c r="I95" s="10" t="n">
        <v>72</v>
      </c>
      <c r="J95" s="10" t="n">
        <v>17</v>
      </c>
      <c r="K95" s="10" t="n">
        <v>43</v>
      </c>
      <c r="L95" s="11" t="n">
        <v>33.25</v>
      </c>
      <c r="M95" s="11" t="n">
        <v>50.13</v>
      </c>
      <c r="N95" s="11" t="n">
        <v>2394</v>
      </c>
      <c r="O95" s="12" t="n">
        <v>45934</v>
      </c>
      <c r="P95" s="12" t="n">
        <v>45934</v>
      </c>
      <c r="Q95" s="10" t="n">
        <v>270</v>
      </c>
      <c r="R95" s="10" t="n">
        <v>11</v>
      </c>
      <c r="S95" s="13" t="n">
        <v>0.1325</v>
      </c>
      <c r="T95" s="13" t="n">
        <v>0.3367</v>
      </c>
      <c r="U95" t="inlineStr">
        <is>
          <t>Excess / Aged</t>
        </is>
      </c>
      <c r="V95" t="inlineStr">
        <is>
          <t>Transfer or Markdown</t>
        </is>
      </c>
    </row>
    <row r="96">
      <c r="A96" t="inlineStr">
        <is>
          <t>INV-00094</t>
        </is>
      </c>
      <c r="B96" t="inlineStr">
        <is>
          <t>F-1094</t>
        </is>
      </c>
      <c r="C96" t="inlineStr">
        <is>
          <t>Cabin Air Filter CF-1180</t>
        </is>
      </c>
      <c r="D96" t="inlineStr">
        <is>
          <t>Filters</t>
        </is>
      </c>
      <c r="E96" t="inlineStr">
        <is>
          <t>Cabin</t>
        </is>
      </c>
      <c r="F96" t="inlineStr">
        <is>
          <t>DC-NJ</t>
        </is>
      </c>
      <c r="G96" t="inlineStr">
        <is>
          <t>Distribution Center</t>
        </is>
      </c>
      <c r="H96" t="inlineStr">
        <is>
          <t>Northeast</t>
        </is>
      </c>
      <c r="I96" s="10" t="n">
        <v>29</v>
      </c>
      <c r="J96" s="10" t="n">
        <v>17</v>
      </c>
      <c r="K96" s="10" t="n">
        <v>36</v>
      </c>
      <c r="L96" s="11" t="n">
        <v>16.59</v>
      </c>
      <c r="M96" s="11" t="n">
        <v>26.57</v>
      </c>
      <c r="N96" s="11" t="n">
        <v>481.11</v>
      </c>
      <c r="O96" s="12" t="n">
        <v>45852</v>
      </c>
      <c r="P96" s="12" t="n">
        <v>45866</v>
      </c>
      <c r="Q96" s="10" t="n">
        <v>352</v>
      </c>
      <c r="R96" s="10" t="n">
        <v>32</v>
      </c>
      <c r="S96" s="13" t="n">
        <v>0.5246</v>
      </c>
      <c r="T96" s="13" t="n">
        <v>0.3756</v>
      </c>
      <c r="U96" t="inlineStr">
        <is>
          <t>Healthy</t>
        </is>
      </c>
      <c r="V96" t="inlineStr">
        <is>
          <t>Monitor</t>
        </is>
      </c>
    </row>
    <row r="97">
      <c r="A97" t="inlineStr">
        <is>
          <t>INV-00095</t>
        </is>
      </c>
      <c r="B97" t="inlineStr">
        <is>
          <t>SS-1095</t>
        </is>
      </c>
      <c r="C97" t="inlineStr">
        <is>
          <t>Nitrile Gloves Box/100</t>
        </is>
      </c>
      <c r="D97" t="inlineStr">
        <is>
          <t>Shop Supplies</t>
        </is>
      </c>
      <c r="E97" t="inlineStr">
        <is>
          <t>Safety</t>
        </is>
      </c>
      <c r="F97" t="inlineStr">
        <is>
          <t>Store-Stamford</t>
        </is>
      </c>
      <c r="G97" t="inlineStr">
        <is>
          <t>Retail Store</t>
        </is>
      </c>
      <c r="H97" t="inlineStr">
        <is>
          <t>Connecticut</t>
        </is>
      </c>
      <c r="I97" s="10" t="n">
        <v>35</v>
      </c>
      <c r="J97" s="10" t="n">
        <v>16</v>
      </c>
      <c r="K97" s="10" t="n">
        <v>35</v>
      </c>
      <c r="L97" s="11" t="n">
        <v>17.96</v>
      </c>
      <c r="M97" s="11" t="n">
        <v>28.32</v>
      </c>
      <c r="N97" s="11" t="n">
        <v>628.6</v>
      </c>
      <c r="O97" s="12" t="n">
        <v>46013</v>
      </c>
      <c r="P97" s="12" t="n">
        <v>46018</v>
      </c>
      <c r="Q97" s="10" t="n">
        <v>191</v>
      </c>
      <c r="R97" s="10" t="n">
        <v>29</v>
      </c>
      <c r="S97" s="13" t="n">
        <v>0.4531</v>
      </c>
      <c r="T97" s="13" t="n">
        <v>0.3658</v>
      </c>
      <c r="U97" t="inlineStr">
        <is>
          <t>Healthy</t>
        </is>
      </c>
      <c r="V97" t="inlineStr">
        <is>
          <t>Monitor</t>
        </is>
      </c>
    </row>
    <row r="98">
      <c r="A98" t="inlineStr">
        <is>
          <t>INV-00096</t>
        </is>
      </c>
      <c r="B98" t="inlineStr">
        <is>
          <t>T-1096</t>
        </is>
      </c>
      <c r="C98" t="inlineStr">
        <is>
          <t>Mavis Sport Grip 245/40R18</t>
        </is>
      </c>
      <c r="D98" t="inlineStr">
        <is>
          <t>Tires</t>
        </is>
      </c>
      <c r="E98" t="inlineStr">
        <is>
          <t>Performance</t>
        </is>
      </c>
      <c r="F98" t="inlineStr">
        <is>
          <t>Store-Queens</t>
        </is>
      </c>
      <c r="G98" t="inlineStr">
        <is>
          <t>Retail Store</t>
        </is>
      </c>
      <c r="H98" t="inlineStr">
        <is>
          <t>NYC Metro</t>
        </is>
      </c>
      <c r="I98" s="10" t="n">
        <v>71</v>
      </c>
      <c r="J98" s="10" t="n">
        <v>14</v>
      </c>
      <c r="K98" s="10" t="n">
        <v>43</v>
      </c>
      <c r="L98" s="11" t="n">
        <v>129.57</v>
      </c>
      <c r="M98" s="11" t="n">
        <v>176.66</v>
      </c>
      <c r="N98" s="11" t="n">
        <v>9199.469999999999</v>
      </c>
      <c r="O98" s="12" t="n">
        <v>46137</v>
      </c>
      <c r="P98" s="12" t="n">
        <v>46139</v>
      </c>
      <c r="Q98" s="10" t="n">
        <v>67</v>
      </c>
      <c r="R98" s="10" t="n">
        <v>10</v>
      </c>
      <c r="S98" s="13" t="n">
        <v>0.1235</v>
      </c>
      <c r="T98" s="13" t="n">
        <v>0.2666</v>
      </c>
      <c r="U98" t="inlineStr">
        <is>
          <t>Excess</t>
        </is>
      </c>
      <c r="V98" t="inlineStr">
        <is>
          <t>Review Transfer</t>
        </is>
      </c>
    </row>
    <row r="99">
      <c r="A99" t="inlineStr">
        <is>
          <t>INV-00097</t>
        </is>
      </c>
      <c r="B99" t="inlineStr">
        <is>
          <t>T-1097</t>
        </is>
      </c>
      <c r="C99" t="inlineStr">
        <is>
          <t>3/8in Drive Socket Set 40pc</t>
        </is>
      </c>
      <c r="D99" t="inlineStr">
        <is>
          <t>Tools</t>
        </is>
      </c>
      <c r="E99" t="inlineStr">
        <is>
          <t>Hand Tools</t>
        </is>
      </c>
      <c r="F99" t="inlineStr">
        <is>
          <t>DC-PA</t>
        </is>
      </c>
      <c r="G99" t="inlineStr">
        <is>
          <t>Distribution Center</t>
        </is>
      </c>
      <c r="H99" t="inlineStr">
        <is>
          <t>Northeast</t>
        </is>
      </c>
      <c r="I99" s="10" t="n">
        <v>13</v>
      </c>
      <c r="J99" s="10" t="n">
        <v>10</v>
      </c>
      <c r="K99" s="10" t="n">
        <v>33</v>
      </c>
      <c r="L99" s="11" t="n">
        <v>53.96</v>
      </c>
      <c r="M99" s="11" t="n">
        <v>74.20999999999999</v>
      </c>
      <c r="N99" s="11" t="n">
        <v>701.48</v>
      </c>
      <c r="O99" s="12" t="n">
        <v>45996</v>
      </c>
      <c r="P99" s="12" t="n">
        <v>46004</v>
      </c>
      <c r="Q99" s="10" t="n">
        <v>208</v>
      </c>
      <c r="R99" s="10" t="n">
        <v>34</v>
      </c>
      <c r="S99" s="13" t="n">
        <v>0.7234</v>
      </c>
      <c r="T99" s="13" t="n">
        <v>0.2729</v>
      </c>
      <c r="U99" t="inlineStr">
        <is>
          <t>Healthy</t>
        </is>
      </c>
      <c r="V99" t="inlineStr">
        <is>
          <t>Monitor</t>
        </is>
      </c>
    </row>
    <row r="100">
      <c r="A100" t="inlineStr">
        <is>
          <t>INV-00098</t>
        </is>
      </c>
      <c r="B100" t="inlineStr">
        <is>
          <t>B-1098</t>
        </is>
      </c>
      <c r="C100" t="inlineStr">
        <is>
          <t>Mavis PowerStart 24F</t>
        </is>
      </c>
      <c r="D100" t="inlineStr">
        <is>
          <t>Batteries</t>
        </is>
      </c>
      <c r="E100" t="inlineStr">
        <is>
          <t>Automotive</t>
        </is>
      </c>
      <c r="F100" t="inlineStr">
        <is>
          <t>DC-PA</t>
        </is>
      </c>
      <c r="G100" t="inlineStr">
        <is>
          <t>Distribution Center</t>
        </is>
      </c>
      <c r="H100" t="inlineStr">
        <is>
          <t>Northeast</t>
        </is>
      </c>
      <c r="I100" s="10" t="n">
        <v>79</v>
      </c>
      <c r="J100" s="10" t="n">
        <v>18</v>
      </c>
      <c r="K100" s="10" t="n">
        <v>58</v>
      </c>
      <c r="L100" s="11" t="n">
        <v>122.03</v>
      </c>
      <c r="M100" s="11" t="n">
        <v>192.67</v>
      </c>
      <c r="N100" s="11" t="n">
        <v>9640.370000000001</v>
      </c>
      <c r="O100" s="12" t="n">
        <v>45935</v>
      </c>
      <c r="P100" s="12" t="n">
        <v>45944</v>
      </c>
      <c r="Q100" s="10" t="n">
        <v>269</v>
      </c>
      <c r="R100" s="10" t="n">
        <v>19</v>
      </c>
      <c r="S100" s="13" t="n">
        <v>0.1939</v>
      </c>
      <c r="T100" s="13" t="n">
        <v>0.3666</v>
      </c>
      <c r="U100" t="inlineStr">
        <is>
          <t>Excess / Aged</t>
        </is>
      </c>
      <c r="V100" t="inlineStr">
        <is>
          <t>Transfer or Markdown</t>
        </is>
      </c>
    </row>
    <row r="101">
      <c r="A101" t="inlineStr">
        <is>
          <t>INV-00099</t>
        </is>
      </c>
      <c r="B101" t="inlineStr">
        <is>
          <t>F-1099</t>
        </is>
      </c>
      <c r="C101" t="inlineStr">
        <is>
          <t>ATF+4 Transmission Fluid 1qt</t>
        </is>
      </c>
      <c r="D101" t="inlineStr">
        <is>
          <t>Fluids</t>
        </is>
      </c>
      <c r="E101" t="inlineStr">
        <is>
          <t>Transmission</t>
        </is>
      </c>
      <c r="F101" t="inlineStr">
        <is>
          <t>DC-NY</t>
        </is>
      </c>
      <c r="G101" t="inlineStr">
        <is>
          <t>Distribution Center</t>
        </is>
      </c>
      <c r="H101" t="inlineStr">
        <is>
          <t>Northeast</t>
        </is>
      </c>
      <c r="I101" s="10" t="n">
        <v>57</v>
      </c>
      <c r="J101" s="10" t="n">
        <v>17</v>
      </c>
      <c r="K101" s="10" t="n">
        <v>42</v>
      </c>
      <c r="L101" s="11" t="n">
        <v>10.14</v>
      </c>
      <c r="M101" s="11" t="n">
        <v>15.16</v>
      </c>
      <c r="N101" s="11" t="n">
        <v>577.98</v>
      </c>
      <c r="O101" s="12" t="n">
        <v>45976</v>
      </c>
      <c r="P101" s="12" t="n">
        <v>45981</v>
      </c>
      <c r="Q101" s="10" t="n">
        <v>228</v>
      </c>
      <c r="R101" s="10" t="n">
        <v>30</v>
      </c>
      <c r="S101" s="13" t="n">
        <v>0.3448</v>
      </c>
      <c r="T101" s="13" t="n">
        <v>0.3311</v>
      </c>
      <c r="U101" t="inlineStr">
        <is>
          <t>Excess / Aged</t>
        </is>
      </c>
      <c r="V101" t="inlineStr">
        <is>
          <t>Transfer or Markdown</t>
        </is>
      </c>
    </row>
    <row r="102">
      <c r="A102" t="inlineStr">
        <is>
          <t>INV-00100</t>
        </is>
      </c>
      <c r="B102" t="inlineStr">
        <is>
          <t>F-1100</t>
        </is>
      </c>
      <c r="C102" t="inlineStr">
        <is>
          <t>Extended Life Coolant 1gal</t>
        </is>
      </c>
      <c r="D102" t="inlineStr">
        <is>
          <t>Fluids</t>
        </is>
      </c>
      <c r="E102" t="inlineStr">
        <is>
          <t>Coolant</t>
        </is>
      </c>
      <c r="F102" t="inlineStr">
        <is>
          <t>Store-Yonkers</t>
        </is>
      </c>
      <c r="G102" t="inlineStr">
        <is>
          <t>Retail Store</t>
        </is>
      </c>
      <c r="H102" t="inlineStr">
        <is>
          <t>NYC Metro</t>
        </is>
      </c>
      <c r="I102" s="10" t="n">
        <v>33</v>
      </c>
      <c r="J102" s="10" t="n">
        <v>16</v>
      </c>
      <c r="K102" s="10" t="n">
        <v>56</v>
      </c>
      <c r="L102" s="11" t="n">
        <v>18.66</v>
      </c>
      <c r="M102" s="11" t="n">
        <v>29.95</v>
      </c>
      <c r="N102" s="11" t="n">
        <v>615.78</v>
      </c>
      <c r="O102" s="12" t="n">
        <v>45990</v>
      </c>
      <c r="P102" s="12" t="n">
        <v>46003</v>
      </c>
      <c r="Q102" s="10" t="n">
        <v>214</v>
      </c>
      <c r="R102" s="10" t="n">
        <v>15</v>
      </c>
      <c r="S102" s="13" t="n">
        <v>0.3125</v>
      </c>
      <c r="T102" s="13" t="n">
        <v>0.377</v>
      </c>
      <c r="U102" t="inlineStr">
        <is>
          <t>Healthy</t>
        </is>
      </c>
      <c r="V102" t="inlineStr">
        <is>
          <t>Monitor</t>
        </is>
      </c>
    </row>
    <row r="103">
      <c r="A103" t="inlineStr">
        <is>
          <t>INV-00101</t>
        </is>
      </c>
      <c r="B103" t="inlineStr">
        <is>
          <t>F-1101</t>
        </is>
      </c>
      <c r="C103" t="inlineStr">
        <is>
          <t>Premium Oil Filter PF-2234</t>
        </is>
      </c>
      <c r="D103" t="inlineStr">
        <is>
          <t>Filters</t>
        </is>
      </c>
      <c r="E103" t="inlineStr">
        <is>
          <t>Oil</t>
        </is>
      </c>
      <c r="F103" t="inlineStr">
        <is>
          <t>Store-Bronx</t>
        </is>
      </c>
      <c r="G103" t="inlineStr">
        <is>
          <t>Retail Store</t>
        </is>
      </c>
      <c r="H103" t="inlineStr">
        <is>
          <t>NYC Metro</t>
        </is>
      </c>
      <c r="I103" s="10" t="n">
        <v>66</v>
      </c>
      <c r="J103" s="10" t="n">
        <v>15</v>
      </c>
      <c r="K103" s="10" t="n">
        <v>44</v>
      </c>
      <c r="L103" s="11" t="n">
        <v>8.66</v>
      </c>
      <c r="M103" s="11" t="n">
        <v>14.07</v>
      </c>
      <c r="N103" s="11" t="n">
        <v>571.5599999999999</v>
      </c>
      <c r="O103" s="12" t="n">
        <v>45979</v>
      </c>
      <c r="P103" s="12" t="n">
        <v>45980</v>
      </c>
      <c r="Q103" s="10" t="n">
        <v>225</v>
      </c>
      <c r="R103" s="10" t="n">
        <v>18</v>
      </c>
      <c r="S103" s="13" t="n">
        <v>0.2143</v>
      </c>
      <c r="T103" s="13" t="n">
        <v>0.3845</v>
      </c>
      <c r="U103" t="inlineStr">
        <is>
          <t>Excess / Aged</t>
        </is>
      </c>
      <c r="V103" t="inlineStr">
        <is>
          <t>Transfer or Markdown</t>
        </is>
      </c>
    </row>
    <row r="104">
      <c r="A104" t="inlineStr">
        <is>
          <t>INV-00102</t>
        </is>
      </c>
      <c r="B104" t="inlineStr">
        <is>
          <t>T-1102</t>
        </is>
      </c>
      <c r="C104" t="inlineStr">
        <is>
          <t>3/8in Drive Socket Set 40pc</t>
        </is>
      </c>
      <c r="D104" t="inlineStr">
        <is>
          <t>Tools</t>
        </is>
      </c>
      <c r="E104" t="inlineStr">
        <is>
          <t>Hand Tools</t>
        </is>
      </c>
      <c r="F104" t="inlineStr">
        <is>
          <t>Store-Manhattan</t>
        </is>
      </c>
      <c r="G104" t="inlineStr">
        <is>
          <t>Retail Store</t>
        </is>
      </c>
      <c r="H104" t="inlineStr">
        <is>
          <t>NYC Metro</t>
        </is>
      </c>
      <c r="I104" s="10" t="n">
        <v>0</v>
      </c>
      <c r="J104" s="10" t="n">
        <v>13</v>
      </c>
      <c r="K104" s="10" t="n">
        <v>33</v>
      </c>
      <c r="L104" s="11" t="n">
        <v>51.43</v>
      </c>
      <c r="M104" s="11" t="n">
        <v>83.73999999999999</v>
      </c>
      <c r="N104" s="11" t="n">
        <v>0</v>
      </c>
      <c r="O104" s="12" t="n">
        <v>46059</v>
      </c>
      <c r="P104" s="12" t="n">
        <v>46061</v>
      </c>
      <c r="Q104" s="10" t="n">
        <v>145</v>
      </c>
      <c r="R104" s="10" t="n">
        <v>11</v>
      </c>
      <c r="S104" s="13" t="n">
        <v>1</v>
      </c>
      <c r="T104" s="13" t="n">
        <v>0.3858</v>
      </c>
      <c r="U104" t="inlineStr">
        <is>
          <t>Stockout Risk</t>
        </is>
      </c>
      <c r="V104" t="inlineStr">
        <is>
          <t>Replenish</t>
        </is>
      </c>
    </row>
    <row r="105">
      <c r="A105" t="inlineStr">
        <is>
          <t>INV-00103</t>
        </is>
      </c>
      <c r="B105" t="inlineStr">
        <is>
          <t>T-1103</t>
        </is>
      </c>
      <c r="C105" t="inlineStr">
        <is>
          <t>Impact Wrench 1/2in 20V</t>
        </is>
      </c>
      <c r="D105" t="inlineStr">
        <is>
          <t>Tools</t>
        </is>
      </c>
      <c r="E105" t="inlineStr">
        <is>
          <t>Power Tools</t>
        </is>
      </c>
      <c r="F105" t="inlineStr">
        <is>
          <t>Store-Queens</t>
        </is>
      </c>
      <c r="G105" t="inlineStr">
        <is>
          <t>Retail Store</t>
        </is>
      </c>
      <c r="H105" t="inlineStr">
        <is>
          <t>NYC Metro</t>
        </is>
      </c>
      <c r="I105" s="10" t="n">
        <v>10</v>
      </c>
      <c r="J105" s="10" t="n">
        <v>13</v>
      </c>
      <c r="K105" s="10" t="n">
        <v>37</v>
      </c>
      <c r="L105" s="11" t="n">
        <v>194.58</v>
      </c>
      <c r="M105" s="11" t="n">
        <v>303.72</v>
      </c>
      <c r="N105" s="11" t="n">
        <v>1945.8</v>
      </c>
      <c r="O105" s="12" t="n">
        <v>45951</v>
      </c>
      <c r="P105" s="12" t="n">
        <v>45951</v>
      </c>
      <c r="Q105" s="10" t="n">
        <v>253</v>
      </c>
      <c r="R105" s="10" t="n">
        <v>19</v>
      </c>
      <c r="S105" s="13" t="n">
        <v>0.6552</v>
      </c>
      <c r="T105" s="13" t="n">
        <v>0.3593</v>
      </c>
      <c r="U105" t="inlineStr">
        <is>
          <t>Stockout Risk</t>
        </is>
      </c>
      <c r="V105" t="inlineStr">
        <is>
          <t>Replenish</t>
        </is>
      </c>
    </row>
    <row r="106">
      <c r="A106" t="inlineStr">
        <is>
          <t>INV-00104</t>
        </is>
      </c>
      <c r="B106" t="inlineStr">
        <is>
          <t>F-1104</t>
        </is>
      </c>
      <c r="C106" t="inlineStr">
        <is>
          <t>Synthetic Motor Oil 5W-30 5qt</t>
        </is>
      </c>
      <c r="D106" t="inlineStr">
        <is>
          <t>Fluids</t>
        </is>
      </c>
      <c r="E106" t="inlineStr">
        <is>
          <t>Motor Oil</t>
        </is>
      </c>
      <c r="F106" t="inlineStr">
        <is>
          <t>Store-Manhattan</t>
        </is>
      </c>
      <c r="G106" t="inlineStr">
        <is>
          <t>Retail Store</t>
        </is>
      </c>
      <c r="H106" t="inlineStr">
        <is>
          <t>NYC Metro</t>
        </is>
      </c>
      <c r="I106" s="10" t="n">
        <v>77</v>
      </c>
      <c r="J106" s="10" t="n">
        <v>17</v>
      </c>
      <c r="K106" s="10" t="n">
        <v>61</v>
      </c>
      <c r="L106" s="11" t="n">
        <v>29.75</v>
      </c>
      <c r="M106" s="11" t="n">
        <v>48.22</v>
      </c>
      <c r="N106" s="11" t="n">
        <v>2290.75</v>
      </c>
      <c r="O106" s="12" t="n">
        <v>45942</v>
      </c>
      <c r="P106" s="12" t="n">
        <v>45949</v>
      </c>
      <c r="Q106" s="10" t="n">
        <v>262</v>
      </c>
      <c r="R106" s="10" t="n">
        <v>30</v>
      </c>
      <c r="S106" s="13" t="n">
        <v>0.2804</v>
      </c>
      <c r="T106" s="13" t="n">
        <v>0.383</v>
      </c>
      <c r="U106" t="inlineStr">
        <is>
          <t>Excess / Aged</t>
        </is>
      </c>
      <c r="V106" t="inlineStr">
        <is>
          <t>Transfer or Markdown</t>
        </is>
      </c>
    </row>
    <row r="107">
      <c r="A107" t="inlineStr">
        <is>
          <t>INV-00105</t>
        </is>
      </c>
      <c r="B107" t="inlineStr">
        <is>
          <t>F-1105</t>
        </is>
      </c>
      <c r="C107" t="inlineStr">
        <is>
          <t>Synthetic Motor Oil 5W-30 5qt</t>
        </is>
      </c>
      <c r="D107" t="inlineStr">
        <is>
          <t>Fluids</t>
        </is>
      </c>
      <c r="E107" t="inlineStr">
        <is>
          <t>Motor Oil</t>
        </is>
      </c>
      <c r="F107" t="inlineStr">
        <is>
          <t>Store-WhitePlains</t>
        </is>
      </c>
      <c r="G107" t="inlineStr">
        <is>
          <t>Retail Store</t>
        </is>
      </c>
      <c r="H107" t="inlineStr">
        <is>
          <t>NYC Metro</t>
        </is>
      </c>
      <c r="I107" s="10" t="n">
        <v>55</v>
      </c>
      <c r="J107" s="10" t="n">
        <v>11</v>
      </c>
      <c r="K107" s="10" t="n">
        <v>54</v>
      </c>
      <c r="L107" s="11" t="n">
        <v>27.87</v>
      </c>
      <c r="M107" s="11" t="n">
        <v>43.75</v>
      </c>
      <c r="N107" s="11" t="n">
        <v>1532.85</v>
      </c>
      <c r="O107" s="12" t="n">
        <v>45875</v>
      </c>
      <c r="P107" s="12" t="n">
        <v>45888</v>
      </c>
      <c r="Q107" s="10" t="n">
        <v>329</v>
      </c>
      <c r="R107" s="10" t="n">
        <v>16</v>
      </c>
      <c r="S107" s="13" t="n">
        <v>0.2254</v>
      </c>
      <c r="T107" s="13" t="n">
        <v>0.363</v>
      </c>
      <c r="U107" t="inlineStr">
        <is>
          <t>Excess / Aged</t>
        </is>
      </c>
      <c r="V107" t="inlineStr">
        <is>
          <t>Transfer or Markdown</t>
        </is>
      </c>
    </row>
    <row r="108">
      <c r="A108" t="inlineStr">
        <is>
          <t>INV-00106</t>
        </is>
      </c>
      <c r="B108" t="inlineStr">
        <is>
          <t>SS-1106</t>
        </is>
      </c>
      <c r="C108" t="inlineStr">
        <is>
          <t>Nitrile Gloves Box/100</t>
        </is>
      </c>
      <c r="D108" t="inlineStr">
        <is>
          <t>Shop Supplies</t>
        </is>
      </c>
      <c r="E108" t="inlineStr">
        <is>
          <t>Safety</t>
        </is>
      </c>
      <c r="F108" t="inlineStr">
        <is>
          <t>Store-Queens</t>
        </is>
      </c>
      <c r="G108" t="inlineStr">
        <is>
          <t>Retail Store</t>
        </is>
      </c>
      <c r="H108" t="inlineStr">
        <is>
          <t>NYC Metro</t>
        </is>
      </c>
      <c r="I108" s="10" t="n">
        <v>78</v>
      </c>
      <c r="J108" s="10" t="n">
        <v>16</v>
      </c>
      <c r="K108" s="10" t="n">
        <v>47</v>
      </c>
      <c r="L108" s="11" t="n">
        <v>19.66</v>
      </c>
      <c r="M108" s="11" t="n">
        <v>28.24</v>
      </c>
      <c r="N108" s="11" t="n">
        <v>1533.48</v>
      </c>
      <c r="O108" s="12" t="n">
        <v>45928</v>
      </c>
      <c r="P108" s="12" t="n">
        <v>45942</v>
      </c>
      <c r="Q108" s="10" t="n">
        <v>276</v>
      </c>
      <c r="R108" s="10" t="n">
        <v>14</v>
      </c>
      <c r="S108" s="13" t="n">
        <v>0.1522</v>
      </c>
      <c r="T108" s="13" t="n">
        <v>0.3038</v>
      </c>
      <c r="U108" t="inlineStr">
        <is>
          <t>Excess / Aged</t>
        </is>
      </c>
      <c r="V108" t="inlineStr">
        <is>
          <t>Transfer or Markdown</t>
        </is>
      </c>
    </row>
    <row r="109">
      <c r="A109" t="inlineStr">
        <is>
          <t>INV-00107</t>
        </is>
      </c>
      <c r="B109" t="inlineStr">
        <is>
          <t>SS-1107</t>
        </is>
      </c>
      <c r="C109" t="inlineStr">
        <is>
          <t>Assorted Clip &amp; Retainer Kit</t>
        </is>
      </c>
      <c r="D109" t="inlineStr">
        <is>
          <t>Shop Supplies</t>
        </is>
      </c>
      <c r="E109" t="inlineStr">
        <is>
          <t>Fasteners</t>
        </is>
      </c>
      <c r="F109" t="inlineStr">
        <is>
          <t>Store-Yonkers</t>
        </is>
      </c>
      <c r="G109" t="inlineStr">
        <is>
          <t>Retail Store</t>
        </is>
      </c>
      <c r="H109" t="inlineStr">
        <is>
          <t>NYC Metro</t>
        </is>
      </c>
      <c r="I109" s="10" t="n">
        <v>58</v>
      </c>
      <c r="J109" s="10" t="n">
        <v>20</v>
      </c>
      <c r="K109" s="10" t="n">
        <v>57</v>
      </c>
      <c r="L109" s="11" t="n">
        <v>21.37</v>
      </c>
      <c r="M109" s="11" t="n">
        <v>33.83</v>
      </c>
      <c r="N109" s="11" t="n">
        <v>1239.46</v>
      </c>
      <c r="O109" s="12" t="n">
        <v>46056</v>
      </c>
      <c r="P109" s="12" t="n">
        <v>46057</v>
      </c>
      <c r="Q109" s="10" t="n">
        <v>148</v>
      </c>
      <c r="R109" s="10" t="n">
        <v>0</v>
      </c>
      <c r="S109" s="13" t="n">
        <v>0</v>
      </c>
      <c r="T109" s="13" t="n">
        <v>0.3683</v>
      </c>
      <c r="U109" t="inlineStr">
        <is>
          <t>Excess</t>
        </is>
      </c>
      <c r="V109" t="inlineStr">
        <is>
          <t>Review Transfer</t>
        </is>
      </c>
    </row>
    <row r="110">
      <c r="A110" t="inlineStr">
        <is>
          <t>INV-00108</t>
        </is>
      </c>
      <c r="B110" t="inlineStr">
        <is>
          <t>A-1108</t>
        </is>
      </c>
      <c r="C110" t="inlineStr">
        <is>
          <t>LED Headlight Bulb H11 Pair</t>
        </is>
      </c>
      <c r="D110" t="inlineStr">
        <is>
          <t>Accessories</t>
        </is>
      </c>
      <c r="E110" t="inlineStr">
        <is>
          <t>Lighting</t>
        </is>
      </c>
      <c r="F110" t="inlineStr">
        <is>
          <t>Store-Brooklyn</t>
        </is>
      </c>
      <c r="G110" t="inlineStr">
        <is>
          <t>Retail Store</t>
        </is>
      </c>
      <c r="H110" t="inlineStr">
        <is>
          <t>NYC Metro</t>
        </is>
      </c>
      <c r="I110" s="10" t="n">
        <v>84</v>
      </c>
      <c r="J110" s="10" t="n">
        <v>19</v>
      </c>
      <c r="K110" s="10" t="n">
        <v>63</v>
      </c>
      <c r="L110" s="11" t="n">
        <v>38.66</v>
      </c>
      <c r="M110" s="11" t="n">
        <v>61.4</v>
      </c>
      <c r="N110" s="11" t="n">
        <v>3247.44</v>
      </c>
      <c r="O110" s="12" t="n">
        <v>46007</v>
      </c>
      <c r="P110" s="12" t="n">
        <v>46021</v>
      </c>
      <c r="Q110" s="10" t="n">
        <v>197</v>
      </c>
      <c r="R110" s="10" t="n">
        <v>11</v>
      </c>
      <c r="S110" s="13" t="n">
        <v>0.1158</v>
      </c>
      <c r="T110" s="13" t="n">
        <v>0.3704</v>
      </c>
      <c r="U110" t="inlineStr">
        <is>
          <t>Excess / Aged</t>
        </is>
      </c>
      <c r="V110" t="inlineStr">
        <is>
          <t>Transfer or Markdown</t>
        </is>
      </c>
    </row>
    <row r="111">
      <c r="A111" t="inlineStr">
        <is>
          <t>INV-00109</t>
        </is>
      </c>
      <c r="B111" t="inlineStr">
        <is>
          <t>T-1109</t>
        </is>
      </c>
      <c r="C111" t="inlineStr">
        <is>
          <t>3/8in Drive Socket Set 40pc</t>
        </is>
      </c>
      <c r="D111" t="inlineStr">
        <is>
          <t>Tools</t>
        </is>
      </c>
      <c r="E111" t="inlineStr">
        <is>
          <t>Hand Tools</t>
        </is>
      </c>
      <c r="F111" t="inlineStr">
        <is>
          <t>DC-NY</t>
        </is>
      </c>
      <c r="G111" t="inlineStr">
        <is>
          <t>Distribution Center</t>
        </is>
      </c>
      <c r="H111" t="inlineStr">
        <is>
          <t>Northeast</t>
        </is>
      </c>
      <c r="I111" s="10" t="n">
        <v>41</v>
      </c>
      <c r="J111" s="10" t="n">
        <v>10</v>
      </c>
      <c r="K111" s="10" t="n">
        <v>41</v>
      </c>
      <c r="L111" s="11" t="n">
        <v>55.74</v>
      </c>
      <c r="M111" s="11" t="n">
        <v>75.87</v>
      </c>
      <c r="N111" s="11" t="n">
        <v>2285.34</v>
      </c>
      <c r="O111" s="12" t="n">
        <v>45867</v>
      </c>
      <c r="P111" s="12" t="n">
        <v>45880</v>
      </c>
      <c r="Q111" s="10" t="n">
        <v>337</v>
      </c>
      <c r="R111" s="10" t="n">
        <v>9</v>
      </c>
      <c r="S111" s="13" t="n">
        <v>0.18</v>
      </c>
      <c r="T111" s="13" t="n">
        <v>0.2653</v>
      </c>
      <c r="U111" t="inlineStr">
        <is>
          <t>Healthy</t>
        </is>
      </c>
      <c r="V111" t="inlineStr">
        <is>
          <t>Monitor</t>
        </is>
      </c>
    </row>
    <row r="112">
      <c r="A112" t="inlineStr">
        <is>
          <t>INV-00110</t>
        </is>
      </c>
      <c r="B112" t="inlineStr">
        <is>
          <t>T-1110</t>
        </is>
      </c>
      <c r="C112" t="inlineStr">
        <is>
          <t>Mavis Sport Grip 245/40R18</t>
        </is>
      </c>
      <c r="D112" t="inlineStr">
        <is>
          <t>Tires</t>
        </is>
      </c>
      <c r="E112" t="inlineStr">
        <is>
          <t>Performance</t>
        </is>
      </c>
      <c r="F112" t="inlineStr">
        <is>
          <t>Store-Queens</t>
        </is>
      </c>
      <c r="G112" t="inlineStr">
        <is>
          <t>Retail Store</t>
        </is>
      </c>
      <c r="H112" t="inlineStr">
        <is>
          <t>NYC Metro</t>
        </is>
      </c>
      <c r="I112" s="10" t="n">
        <v>26</v>
      </c>
      <c r="J112" s="10" t="n">
        <v>20</v>
      </c>
      <c r="K112" s="10" t="n">
        <v>36</v>
      </c>
      <c r="L112" s="11" t="n">
        <v>127.16</v>
      </c>
      <c r="M112" s="11" t="n">
        <v>201.18</v>
      </c>
      <c r="N112" s="11" t="n">
        <v>3306.16</v>
      </c>
      <c r="O112" s="12" t="n">
        <v>46154</v>
      </c>
      <c r="P112" s="12" t="n">
        <v>46164</v>
      </c>
      <c r="Q112" s="10" t="n">
        <v>50</v>
      </c>
      <c r="R112" s="10" t="n">
        <v>32</v>
      </c>
      <c r="S112" s="13" t="n">
        <v>0.5517</v>
      </c>
      <c r="T112" s="13" t="n">
        <v>0.3679</v>
      </c>
      <c r="U112" t="inlineStr">
        <is>
          <t>Healthy</t>
        </is>
      </c>
      <c r="V112" t="inlineStr">
        <is>
          <t>Monitor</t>
        </is>
      </c>
    </row>
    <row r="113">
      <c r="A113" t="inlineStr">
        <is>
          <t>INV-00111</t>
        </is>
      </c>
      <c r="B113" t="inlineStr">
        <is>
          <t>T-1111</t>
        </is>
      </c>
      <c r="C113" t="inlineStr">
        <is>
          <t>Mavis Tour Plus 215/60R16</t>
        </is>
      </c>
      <c r="D113" t="inlineStr">
        <is>
          <t>Tires</t>
        </is>
      </c>
      <c r="E113" t="inlineStr">
        <is>
          <t>All-Season</t>
        </is>
      </c>
      <c r="F113" t="inlineStr">
        <is>
          <t>Store-Newark</t>
        </is>
      </c>
      <c r="G113" t="inlineStr">
        <is>
          <t>Retail Store</t>
        </is>
      </c>
      <c r="H113" t="inlineStr">
        <is>
          <t>New Jersey</t>
        </is>
      </c>
      <c r="I113" s="10" t="n">
        <v>35</v>
      </c>
      <c r="J113" s="10" t="n">
        <v>17</v>
      </c>
      <c r="K113" s="10" t="n">
        <v>54</v>
      </c>
      <c r="L113" s="11" t="n">
        <v>87.59999999999999</v>
      </c>
      <c r="M113" s="11" t="n">
        <v>134.6</v>
      </c>
      <c r="N113" s="11" t="n">
        <v>3066</v>
      </c>
      <c r="O113" s="12" t="n">
        <v>45867</v>
      </c>
      <c r="P113" s="12" t="n">
        <v>45867</v>
      </c>
      <c r="Q113" s="10" t="n">
        <v>337</v>
      </c>
      <c r="R113" s="10" t="n">
        <v>13</v>
      </c>
      <c r="S113" s="13" t="n">
        <v>0.2708</v>
      </c>
      <c r="T113" s="13" t="n">
        <v>0.3492</v>
      </c>
      <c r="U113" t="inlineStr">
        <is>
          <t>Healthy</t>
        </is>
      </c>
      <c r="V113" t="inlineStr">
        <is>
          <t>Monitor</t>
        </is>
      </c>
    </row>
    <row r="114">
      <c r="A114" t="inlineStr">
        <is>
          <t>INV-00112</t>
        </is>
      </c>
      <c r="B114" t="inlineStr">
        <is>
          <t>BP-1112</t>
        </is>
      </c>
      <c r="C114" t="inlineStr">
        <is>
          <t>Brake Hardware Kit</t>
        </is>
      </c>
      <c r="D114" t="inlineStr">
        <is>
          <t>Brake Parts</t>
        </is>
      </c>
      <c r="E114" t="inlineStr">
        <is>
          <t>Hardware</t>
        </is>
      </c>
      <c r="F114" t="inlineStr">
        <is>
          <t>Store-Newark</t>
        </is>
      </c>
      <c r="G114" t="inlineStr">
        <is>
          <t>Retail Store</t>
        </is>
      </c>
      <c r="H114" t="inlineStr">
        <is>
          <t>New Jersey</t>
        </is>
      </c>
      <c r="I114" s="10" t="n">
        <v>59</v>
      </c>
      <c r="J114" s="10" t="n">
        <v>13</v>
      </c>
      <c r="K114" s="10" t="n">
        <v>28</v>
      </c>
      <c r="L114" s="11" t="n">
        <v>11.82</v>
      </c>
      <c r="M114" s="11" t="n">
        <v>17.38</v>
      </c>
      <c r="N114" s="11" t="n">
        <v>697.38</v>
      </c>
      <c r="O114" s="12" t="n">
        <v>45986</v>
      </c>
      <c r="P114" s="12" t="n">
        <v>45996</v>
      </c>
      <c r="Q114" s="10" t="n">
        <v>218</v>
      </c>
      <c r="R114" s="10" t="n">
        <v>9</v>
      </c>
      <c r="S114" s="13" t="n">
        <v>0.1324</v>
      </c>
      <c r="T114" s="13" t="n">
        <v>0.3199</v>
      </c>
      <c r="U114" t="inlineStr">
        <is>
          <t>Excess / Aged</t>
        </is>
      </c>
      <c r="V114" t="inlineStr">
        <is>
          <t>Transfer or Markdown</t>
        </is>
      </c>
    </row>
    <row r="115">
      <c r="A115" t="inlineStr">
        <is>
          <t>INV-00113</t>
        </is>
      </c>
      <c r="B115" t="inlineStr">
        <is>
          <t>T-1113</t>
        </is>
      </c>
      <c r="C115" t="inlineStr">
        <is>
          <t>Impact Wrench 1/2in 20V</t>
        </is>
      </c>
      <c r="D115" t="inlineStr">
        <is>
          <t>Tools</t>
        </is>
      </c>
      <c r="E115" t="inlineStr">
        <is>
          <t>Power Tools</t>
        </is>
      </c>
      <c r="F115" t="inlineStr">
        <is>
          <t>Store-Newark</t>
        </is>
      </c>
      <c r="G115" t="inlineStr">
        <is>
          <t>Retail Store</t>
        </is>
      </c>
      <c r="H115" t="inlineStr">
        <is>
          <t>New Jersey</t>
        </is>
      </c>
      <c r="I115" s="10" t="n">
        <v>21</v>
      </c>
      <c r="J115" s="10" t="n">
        <v>15</v>
      </c>
      <c r="K115" s="10" t="n">
        <v>50</v>
      </c>
      <c r="L115" s="11" t="n">
        <v>195.98</v>
      </c>
      <c r="M115" s="11" t="n">
        <v>314.74</v>
      </c>
      <c r="N115" s="11" t="n">
        <v>4115.58</v>
      </c>
      <c r="O115" s="12" t="n">
        <v>46101</v>
      </c>
      <c r="P115" s="12" t="n">
        <v>46113</v>
      </c>
      <c r="Q115" s="10" t="n">
        <v>103</v>
      </c>
      <c r="R115" s="10" t="n">
        <v>14</v>
      </c>
      <c r="S115" s="13" t="n">
        <v>0.4</v>
      </c>
      <c r="T115" s="13" t="n">
        <v>0.3773</v>
      </c>
      <c r="U115" t="inlineStr">
        <is>
          <t>Healthy</t>
        </is>
      </c>
      <c r="V115" t="inlineStr">
        <is>
          <t>Monitor</t>
        </is>
      </c>
    </row>
    <row r="116">
      <c r="A116" t="inlineStr">
        <is>
          <t>INV-00114</t>
        </is>
      </c>
      <c r="B116" t="inlineStr">
        <is>
          <t>A-1114</t>
        </is>
      </c>
      <c r="C116" t="inlineStr">
        <is>
          <t>Beam Wiper Blade 22in</t>
        </is>
      </c>
      <c r="D116" t="inlineStr">
        <is>
          <t>Accessories</t>
        </is>
      </c>
      <c r="E116" t="inlineStr">
        <is>
          <t>Wipers</t>
        </is>
      </c>
      <c r="F116" t="inlineStr">
        <is>
          <t>Store-Bronx</t>
        </is>
      </c>
      <c r="G116" t="inlineStr">
        <is>
          <t>Retail Store</t>
        </is>
      </c>
      <c r="H116" t="inlineStr">
        <is>
          <t>NYC Metro</t>
        </is>
      </c>
      <c r="I116" s="10" t="n">
        <v>37</v>
      </c>
      <c r="J116" s="10" t="n">
        <v>17</v>
      </c>
      <c r="K116" s="10" t="n">
        <v>49</v>
      </c>
      <c r="L116" s="11" t="n">
        <v>20.76</v>
      </c>
      <c r="M116" s="11" t="n">
        <v>29.19</v>
      </c>
      <c r="N116" s="11" t="n">
        <v>768.12</v>
      </c>
      <c r="O116" s="12" t="n">
        <v>46035</v>
      </c>
      <c r="P116" s="12" t="n">
        <v>46039</v>
      </c>
      <c r="Q116" s="10" t="n">
        <v>169</v>
      </c>
      <c r="R116" s="10" t="n">
        <v>4</v>
      </c>
      <c r="S116" s="13" t="n">
        <v>0.09760000000000001</v>
      </c>
      <c r="T116" s="13" t="n">
        <v>0.2888</v>
      </c>
      <c r="U116" t="inlineStr">
        <is>
          <t>Healthy</t>
        </is>
      </c>
      <c r="V116" t="inlineStr">
        <is>
          <t>Monitor</t>
        </is>
      </c>
    </row>
    <row r="117">
      <c r="A117" t="inlineStr">
        <is>
          <t>INV-00115</t>
        </is>
      </c>
      <c r="B117" t="inlineStr">
        <is>
          <t>T-1115</t>
        </is>
      </c>
      <c r="C117" t="inlineStr">
        <is>
          <t>OBD-II Code Reader Pro</t>
        </is>
      </c>
      <c r="D117" t="inlineStr">
        <is>
          <t>Tools</t>
        </is>
      </c>
      <c r="E117" t="inlineStr">
        <is>
          <t>Diagnostic</t>
        </is>
      </c>
      <c r="F117" t="inlineStr">
        <is>
          <t>DC-NY</t>
        </is>
      </c>
      <c r="G117" t="inlineStr">
        <is>
          <t>Distribution Center</t>
        </is>
      </c>
      <c r="H117" t="inlineStr">
        <is>
          <t>Northeast</t>
        </is>
      </c>
      <c r="I117" s="10" t="n">
        <v>34</v>
      </c>
      <c r="J117" s="10" t="n">
        <v>16</v>
      </c>
      <c r="K117" s="10" t="n">
        <v>41</v>
      </c>
      <c r="L117" s="11" t="n">
        <v>135.43</v>
      </c>
      <c r="M117" s="11" t="n">
        <v>194.87</v>
      </c>
      <c r="N117" s="11" t="n">
        <v>4604.62</v>
      </c>
      <c r="O117" s="12" t="n">
        <v>45902</v>
      </c>
      <c r="P117" s="12" t="n">
        <v>45914</v>
      </c>
      <c r="Q117" s="10" t="n">
        <v>302</v>
      </c>
      <c r="R117" s="10" t="n">
        <v>14</v>
      </c>
      <c r="S117" s="13" t="n">
        <v>0.2917</v>
      </c>
      <c r="T117" s="13" t="n">
        <v>0.305</v>
      </c>
      <c r="U117" t="inlineStr">
        <is>
          <t>Healthy</t>
        </is>
      </c>
      <c r="V117" t="inlineStr">
        <is>
          <t>Monitor</t>
        </is>
      </c>
    </row>
    <row r="118">
      <c r="A118" t="inlineStr">
        <is>
          <t>INV-00116</t>
        </is>
      </c>
      <c r="B118" t="inlineStr">
        <is>
          <t>SS-1116</t>
        </is>
      </c>
      <c r="C118" t="inlineStr">
        <is>
          <t>Brake Cleaner 19oz</t>
        </is>
      </c>
      <c r="D118" t="inlineStr">
        <is>
          <t>Shop Supplies</t>
        </is>
      </c>
      <c r="E118" t="inlineStr">
        <is>
          <t>Cleaning</t>
        </is>
      </c>
      <c r="F118" t="inlineStr">
        <is>
          <t>Store-Queens</t>
        </is>
      </c>
      <c r="G118" t="inlineStr">
        <is>
          <t>Retail Store</t>
        </is>
      </c>
      <c r="H118" t="inlineStr">
        <is>
          <t>NYC Metro</t>
        </is>
      </c>
      <c r="I118" s="10" t="n">
        <v>8</v>
      </c>
      <c r="J118" s="10" t="n">
        <v>14</v>
      </c>
      <c r="K118" s="10" t="n">
        <v>33</v>
      </c>
      <c r="L118" s="11" t="n">
        <v>5.61</v>
      </c>
      <c r="M118" s="11" t="n">
        <v>8.58</v>
      </c>
      <c r="N118" s="11" t="n">
        <v>44.88</v>
      </c>
      <c r="O118" s="12" t="n">
        <v>45961</v>
      </c>
      <c r="P118" s="12" t="n">
        <v>45975</v>
      </c>
      <c r="Q118" s="10" t="n">
        <v>243</v>
      </c>
      <c r="R118" s="10" t="n">
        <v>6</v>
      </c>
      <c r="S118" s="13" t="n">
        <v>0.4286</v>
      </c>
      <c r="T118" s="13" t="n">
        <v>0.3462</v>
      </c>
      <c r="U118" t="inlineStr">
        <is>
          <t>Stockout Risk</t>
        </is>
      </c>
      <c r="V118" t="inlineStr">
        <is>
          <t>Replenish</t>
        </is>
      </c>
    </row>
    <row r="119">
      <c r="A119" t="inlineStr">
        <is>
          <t>INV-00117</t>
        </is>
      </c>
      <c r="B119" t="inlineStr">
        <is>
          <t>T-1117</t>
        </is>
      </c>
      <c r="C119" t="inlineStr">
        <is>
          <t>Mavis Sport Grip 245/40R18</t>
        </is>
      </c>
      <c r="D119" t="inlineStr">
        <is>
          <t>Tires</t>
        </is>
      </c>
      <c r="E119" t="inlineStr">
        <is>
          <t>Performance</t>
        </is>
      </c>
      <c r="F119" t="inlineStr">
        <is>
          <t>Store-Queens</t>
        </is>
      </c>
      <c r="G119" t="inlineStr">
        <is>
          <t>Retail Store</t>
        </is>
      </c>
      <c r="H119" t="inlineStr">
        <is>
          <t>NYC Metro</t>
        </is>
      </c>
      <c r="I119" s="10" t="n">
        <v>19</v>
      </c>
      <c r="J119" s="10" t="n">
        <v>14</v>
      </c>
      <c r="K119" s="10" t="n">
        <v>56</v>
      </c>
      <c r="L119" s="11" t="n">
        <v>122.82</v>
      </c>
      <c r="M119" s="11" t="n">
        <v>168.28</v>
      </c>
      <c r="N119" s="11" t="n">
        <v>2333.58</v>
      </c>
      <c r="O119" s="12" t="n">
        <v>45993</v>
      </c>
      <c r="P119" s="12" t="n">
        <v>45995</v>
      </c>
      <c r="Q119" s="10" t="n">
        <v>211</v>
      </c>
      <c r="R119" s="10" t="n">
        <v>12</v>
      </c>
      <c r="S119" s="13" t="n">
        <v>0.3871</v>
      </c>
      <c r="T119" s="13" t="n">
        <v>0.2701</v>
      </c>
      <c r="U119" t="inlineStr">
        <is>
          <t>Healthy</t>
        </is>
      </c>
      <c r="V119" t="inlineStr">
        <is>
          <t>Monitor</t>
        </is>
      </c>
    </row>
    <row r="120">
      <c r="A120" t="inlineStr">
        <is>
          <t>INV-00118</t>
        </is>
      </c>
      <c r="B120" t="inlineStr">
        <is>
          <t>B-1118</t>
        </is>
      </c>
      <c r="C120" t="inlineStr">
        <is>
          <t>Economy Battery 35R</t>
        </is>
      </c>
      <c r="D120" t="inlineStr">
        <is>
          <t>Batteries</t>
        </is>
      </c>
      <c r="E120" t="inlineStr">
        <is>
          <t>Standard</t>
        </is>
      </c>
      <c r="F120" t="inlineStr">
        <is>
          <t>DC-PA</t>
        </is>
      </c>
      <c r="G120" t="inlineStr">
        <is>
          <t>Distribution Center</t>
        </is>
      </c>
      <c r="H120" t="inlineStr">
        <is>
          <t>Northeast</t>
        </is>
      </c>
      <c r="I120" s="10" t="n">
        <v>19</v>
      </c>
      <c r="J120" s="10" t="n">
        <v>15</v>
      </c>
      <c r="K120" s="10" t="n">
        <v>30</v>
      </c>
      <c r="L120" s="11" t="n">
        <v>87.61</v>
      </c>
      <c r="M120" s="11" t="n">
        <v>129.32</v>
      </c>
      <c r="N120" s="11" t="n">
        <v>1664.59</v>
      </c>
      <c r="O120" s="12" t="n">
        <v>46011</v>
      </c>
      <c r="P120" s="12" t="n">
        <v>46020</v>
      </c>
      <c r="Q120" s="10" t="n">
        <v>193</v>
      </c>
      <c r="R120" s="10" t="n">
        <v>33</v>
      </c>
      <c r="S120" s="13" t="n">
        <v>0.6346000000000001</v>
      </c>
      <c r="T120" s="13" t="n">
        <v>0.3225</v>
      </c>
      <c r="U120" t="inlineStr">
        <is>
          <t>Healthy</t>
        </is>
      </c>
      <c r="V120" t="inlineStr">
        <is>
          <t>Monitor</t>
        </is>
      </c>
    </row>
    <row r="121">
      <c r="A121" t="inlineStr">
        <is>
          <t>INV-00119</t>
        </is>
      </c>
      <c r="B121" t="inlineStr">
        <is>
          <t>A-1119</t>
        </is>
      </c>
      <c r="C121" t="inlineStr">
        <is>
          <t>Beam Wiper Blade 22in</t>
        </is>
      </c>
      <c r="D121" t="inlineStr">
        <is>
          <t>Accessories</t>
        </is>
      </c>
      <c r="E121" t="inlineStr">
        <is>
          <t>Wipers</t>
        </is>
      </c>
      <c r="F121" t="inlineStr">
        <is>
          <t>Store-Stamford</t>
        </is>
      </c>
      <c r="G121" t="inlineStr">
        <is>
          <t>Retail Store</t>
        </is>
      </c>
      <c r="H121" t="inlineStr">
        <is>
          <t>Connecticut</t>
        </is>
      </c>
      <c r="I121" s="10" t="n">
        <v>46</v>
      </c>
      <c r="J121" s="10" t="n">
        <v>20</v>
      </c>
      <c r="K121" s="10" t="n">
        <v>57</v>
      </c>
      <c r="L121" s="11" t="n">
        <v>20.78</v>
      </c>
      <c r="M121" s="11" t="n">
        <v>29.52</v>
      </c>
      <c r="N121" s="11" t="n">
        <v>955.88</v>
      </c>
      <c r="O121" s="12" t="n">
        <v>45975</v>
      </c>
      <c r="P121" s="12" t="n">
        <v>45979</v>
      </c>
      <c r="Q121" s="10" t="n">
        <v>229</v>
      </c>
      <c r="R121" s="10" t="n">
        <v>34</v>
      </c>
      <c r="S121" s="13" t="n">
        <v>0.425</v>
      </c>
      <c r="T121" s="13" t="n">
        <v>0.2961</v>
      </c>
      <c r="U121" t="inlineStr">
        <is>
          <t>Healthy</t>
        </is>
      </c>
      <c r="V121" t="inlineStr">
        <is>
          <t>Monitor</t>
        </is>
      </c>
    </row>
    <row r="122">
      <c r="A122" t="inlineStr">
        <is>
          <t>INV-00120</t>
        </is>
      </c>
      <c r="B122" t="inlineStr">
        <is>
          <t>F-1120</t>
        </is>
      </c>
      <c r="C122" t="inlineStr">
        <is>
          <t>Extended Life Coolant 1gal</t>
        </is>
      </c>
      <c r="D122" t="inlineStr">
        <is>
          <t>Fluids</t>
        </is>
      </c>
      <c r="E122" t="inlineStr">
        <is>
          <t>Coolant</t>
        </is>
      </c>
      <c r="F122" t="inlineStr">
        <is>
          <t>Store-Bronx</t>
        </is>
      </c>
      <c r="G122" t="inlineStr">
        <is>
          <t>Retail Store</t>
        </is>
      </c>
      <c r="H122" t="inlineStr">
        <is>
          <t>NYC Metro</t>
        </is>
      </c>
      <c r="I122" s="10" t="n">
        <v>29</v>
      </c>
      <c r="J122" s="10" t="n">
        <v>19</v>
      </c>
      <c r="K122" s="10" t="n">
        <v>61</v>
      </c>
      <c r="L122" s="11" t="n">
        <v>18.67</v>
      </c>
      <c r="M122" s="11" t="n">
        <v>28.86</v>
      </c>
      <c r="N122" s="11" t="n">
        <v>541.4299999999999</v>
      </c>
      <c r="O122" s="12" t="n">
        <v>45980</v>
      </c>
      <c r="P122" s="12" t="n">
        <v>45991</v>
      </c>
      <c r="Q122" s="10" t="n">
        <v>224</v>
      </c>
      <c r="R122" s="10" t="n">
        <v>34</v>
      </c>
      <c r="S122" s="13" t="n">
        <v>0.5397</v>
      </c>
      <c r="T122" s="13" t="n">
        <v>0.3531</v>
      </c>
      <c r="U122" t="inlineStr">
        <is>
          <t>Healthy</t>
        </is>
      </c>
      <c r="V122" t="inlineStr">
        <is>
          <t>Monitor</t>
        </is>
      </c>
    </row>
  </sheetData>
  <mergeCells count="1">
    <mergeCell ref="A1:V1"/>
  </mergeCells>
  <conditionalFormatting sqref="U3:U122">
    <cfRule type="expression" priority="1" dxfId="0">
      <formula>$U3="Healthy"</formula>
    </cfRule>
    <cfRule type="expression" priority="2" dxfId="1">
      <formula>$U3="Stockout Risk"</formula>
    </cfRule>
    <cfRule type="expression" priority="3" dxfId="2">
      <formula>$U3="Excess"</formula>
    </cfRule>
    <cfRule type="expression" priority="4" dxfId="3">
      <formula>$U3="Slow-Moving"</formula>
    </cfRule>
    <cfRule type="expression" priority="5" dxfId="3">
      <formula>$U3="Excess / Aged"</formula>
    </cfRule>
    <cfRule type="expression" priority="6" dxfId="1">
      <formula>$U3="Obsolete"</formula>
    </cfRule>
  </conditionalFormatting>
  <conditionalFormatting sqref="V3:V122">
    <cfRule type="expression" priority="7" dxfId="0">
      <formula>$V3="Monitor"</formula>
    </cfRule>
    <cfRule type="expression" priority="8" dxfId="1">
      <formula>$V3="Replenish"</formula>
    </cfRule>
    <cfRule type="expression" priority="9" dxfId="2">
      <formula>$V3="Review Transfer"</formula>
    </cfRule>
    <cfRule type="expression" priority="10" dxfId="3">
      <formula>$V3="Transfer or Markdown"</formula>
    </cfRule>
    <cfRule type="expression" priority="11" dxfId="3">
      <formula>$V3="Markdown Review"</formula>
    </cfRule>
    <cfRule type="expression" priority="12" dxfId="1">
      <formula>$V3="Liquidate"</formula>
    </cfRule>
  </conditionalFormatting>
  <dataValidations count="2">
    <dataValidation sqref="U3:U122" showDropDown="0" showInputMessage="0" showErrorMessage="1" allowBlank="1" errorTitle="Invalid Entry" error="Please select a value from the dropdown list." type="list">
      <formula1>"Healthy,Stockout Risk,Excess,Slow-Moving,Excess / Aged,Obsolete"</formula1>
    </dataValidation>
    <dataValidation sqref="V3:V122" showDropDown="0" showInputMessage="0" showErrorMessage="1" allowBlank="1" errorTitle="Invalid Entry" error="Please select a value from the dropdown list." type="list">
      <formula1>"Monitor,Replenish,Review Transfer,Transfer or Markdown,Markdown Review,Liquidate"</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J63"/>
  <sheetViews>
    <sheetView showGridLines="0" workbookViewId="0">
      <selection activeCell="A1" sqref="A1"/>
    </sheetView>
  </sheetViews>
  <sheetFormatPr baseColWidth="8" defaultRowHeight="15"/>
  <cols>
    <col width="28" customWidth="1" min="1" max="1"/>
    <col width="28" customWidth="1" min="2" max="2"/>
    <col width="28" customWidth="1" min="3" max="3"/>
    <col width="12" customWidth="1" min="4" max="4"/>
    <col width="28" customWidth="1" min="5" max="5"/>
    <col width="10" customWidth="1" min="6" max="6"/>
    <col width="28" customWidth="1" min="7" max="7"/>
    <col width="10" customWidth="1" min="8" max="8"/>
    <col width="28" customWidth="1" min="9" max="9"/>
    <col width="10" customWidth="1" min="10" max="10"/>
  </cols>
  <sheetData>
    <row r="1" ht="30" customHeight="1">
      <c r="A1" s="14" t="inlineStr">
        <is>
          <t>Inventory Dashboard</t>
        </is>
      </c>
    </row>
    <row r="2">
      <c r="A2" s="4" t="inlineStr">
        <is>
          <t>Key Performance Indicators</t>
        </is>
      </c>
      <c r="B2" s="5" t="n"/>
      <c r="C2" s="5" t="n"/>
      <c r="D2" s="5" t="n"/>
      <c r="E2" s="5" t="n"/>
      <c r="F2" s="5" t="n"/>
      <c r="G2" s="5" t="n"/>
      <c r="H2" s="5" t="n"/>
      <c r="I2" s="5" t="n"/>
      <c r="J2" s="6" t="n"/>
    </row>
    <row r="3">
      <c r="A3" s="15" t="inlineStr">
        <is>
          <t>Total Inventory Value</t>
        </is>
      </c>
      <c r="B3" s="16" t="n"/>
      <c r="C3" s="15" t="inlineStr">
        <is>
          <t>Aged Inventory Value</t>
        </is>
      </c>
      <c r="D3" s="16" t="n"/>
      <c r="E3" s="15" t="inlineStr">
        <is>
          <t>Excess Inventory Value</t>
        </is>
      </c>
      <c r="F3" s="16" t="n"/>
      <c r="G3" s="15" t="inlineStr">
        <is>
          <t>Slow-Moving SKU Count</t>
        </is>
      </c>
      <c r="H3" s="16" t="n"/>
      <c r="I3" s="15" t="inlineStr">
        <is>
          <t>Obsolete SKU Count</t>
        </is>
      </c>
      <c r="J3" s="16" t="n"/>
    </row>
    <row r="4">
      <c r="A4" s="17">
        <f>SUM('Master Inventory'!N3:N122)</f>
        <v/>
      </c>
      <c r="B4" s="16" t="n"/>
      <c r="C4" s="17">
        <f>SUMIF('Master Inventory'!Q3:Q122,"&gt;180",'Master Inventory'!N3:N122)</f>
        <v/>
      </c>
      <c r="D4" s="16" t="n"/>
      <c r="E4" s="17">
        <f>SUMIF('Master Inventory'!U3:U122,"Excess",'Master Inventory'!N3:N122)+SUMIF('Master Inventory'!U3:U122,"Excess / Aged",'Master Inventory'!N3:N122)</f>
        <v/>
      </c>
      <c r="F4" s="16" t="n"/>
      <c r="G4" s="18">
        <f>COUNTIF('Master Inventory'!U3:U122,"Slow-Moving")</f>
        <v/>
      </c>
      <c r="H4" s="16" t="n"/>
      <c r="I4" s="18">
        <f>COUNTIF('Master Inventory'!U3:U122,"Obsolete")</f>
        <v/>
      </c>
      <c r="J4" s="16" t="n"/>
    </row>
    <row r="5"/>
    <row r="6">
      <c r="A6" s="15" t="inlineStr">
        <is>
          <t>Transfer Candidate Count</t>
        </is>
      </c>
      <c r="B6" s="16" t="n"/>
      <c r="C6" s="15" t="inlineStr">
        <is>
          <t>Markdown Candidate Count</t>
        </is>
      </c>
      <c r="D6" s="16" t="n"/>
      <c r="E6" s="15" t="inlineStr">
        <is>
          <t>Stockout Risk Count</t>
        </is>
      </c>
      <c r="F6" s="16" t="n"/>
      <c r="G6" s="15" t="inlineStr">
        <is>
          <t>Estimated Recovery Value</t>
        </is>
      </c>
      <c r="H6" s="16" t="n"/>
      <c r="I6" s="15" t="inlineStr">
        <is>
          <t>Average Gross Margin %</t>
        </is>
      </c>
      <c r="J6" s="16" t="n"/>
    </row>
    <row r="7">
      <c r="A7" s="18">
        <f>COUNTIF('Master Inventory'!V3:V122,"Review Transfer")+COUNTIF('Master Inventory'!V3:V122,"Transfer or Markdown")</f>
        <v/>
      </c>
      <c r="B7" s="16" t="n"/>
      <c r="C7" s="18">
        <f>COUNTIF('Master Inventory'!V3:V122,"Markdown Review")+COUNTIF('Master Inventory'!V3:V122,"Transfer or Markdown")+COUNTIF('Master Inventory'!V3:V122,"Liquidate")</f>
        <v/>
      </c>
      <c r="D7" s="16" t="n"/>
      <c r="E7" s="18">
        <f>COUNTIF('Master Inventory'!U3:U122,"Stockout Risk")</f>
        <v/>
      </c>
      <c r="F7" s="16" t="n"/>
      <c r="G7" s="17">
        <f>SUMIF('Master Inventory'!V3:V122,"Markdown Review",'Master Inventory'!N3:N122)+SUMIF('Master Inventory'!V3:V122,"Transfer or Markdown",'Master Inventory'!N3:N122)+SUMIF('Master Inventory'!V3:V122,"Liquidate",'Master Inventory'!N3:N122)</f>
        <v/>
      </c>
      <c r="H7" s="16" t="n"/>
      <c r="I7" s="19">
        <f>AVERAGE('Master Inventory'!T3:T122)</f>
        <v/>
      </c>
      <c r="J7" s="16" t="n"/>
    </row>
    <row r="8"/>
    <row r="9">
      <c r="A9" s="4" t="inlineStr">
        <is>
          <t>Inventory Value by Location</t>
        </is>
      </c>
      <c r="B9" s="5" t="n"/>
      <c r="C9" s="5" t="n"/>
      <c r="D9" s="6" t="n"/>
    </row>
    <row r="10">
      <c r="A10" s="9" t="inlineStr">
        <is>
          <t>Location</t>
        </is>
      </c>
      <c r="B10" s="9" t="inlineStr">
        <is>
          <t>Inventory Value</t>
        </is>
      </c>
    </row>
    <row r="11">
      <c r="A11" t="inlineStr">
        <is>
          <t>Store-Brooklyn</t>
        </is>
      </c>
      <c r="B11" s="11" t="n">
        <v>45168.37</v>
      </c>
    </row>
    <row r="12">
      <c r="A12" t="inlineStr">
        <is>
          <t>DC-NY</t>
        </is>
      </c>
      <c r="B12" s="11" t="n">
        <v>39471.92</v>
      </c>
    </row>
    <row r="13">
      <c r="A13" t="inlineStr">
        <is>
          <t>Store-Queens</t>
        </is>
      </c>
      <c r="B13" s="11" t="n">
        <v>37239.78</v>
      </c>
    </row>
    <row r="14">
      <c r="A14" t="inlineStr">
        <is>
          <t>Store-Newark</t>
        </is>
      </c>
      <c r="B14" s="11" t="n">
        <v>33741.2</v>
      </c>
    </row>
    <row r="15">
      <c r="A15" t="inlineStr">
        <is>
          <t>DC-PA</t>
        </is>
      </c>
      <c r="B15" s="11" t="n">
        <v>29348.23</v>
      </c>
    </row>
    <row r="16">
      <c r="A16" t="inlineStr">
        <is>
          <t>Store-Bronx</t>
        </is>
      </c>
      <c r="B16" s="11" t="n">
        <v>28505.45</v>
      </c>
    </row>
    <row r="17">
      <c r="A17" t="inlineStr">
        <is>
          <t>Store-Manhattan</t>
        </is>
      </c>
      <c r="B17" s="11" t="n">
        <v>26507.09</v>
      </c>
    </row>
    <row r="18">
      <c r="A18" t="inlineStr">
        <is>
          <t>Store-Yonkers</t>
        </is>
      </c>
      <c r="B18" s="11" t="n">
        <v>25794.9</v>
      </c>
    </row>
    <row r="19">
      <c r="A19" t="inlineStr">
        <is>
          <t>Store-WhitePlains</t>
        </is>
      </c>
      <c r="B19" s="11" t="n">
        <v>20949.6</v>
      </c>
    </row>
    <row r="20">
      <c r="A20" t="inlineStr">
        <is>
          <t>Store-Stamford</t>
        </is>
      </c>
      <c r="B20" s="11" t="n">
        <v>19133.26</v>
      </c>
    </row>
    <row r="21">
      <c r="A21" t="inlineStr">
        <is>
          <t>DC-NJ</t>
        </is>
      </c>
      <c r="B21" s="11" t="n">
        <v>14290.97</v>
      </c>
    </row>
    <row r="22"/>
    <row r="23"/>
    <row r="24">
      <c r="A24" s="4" t="inlineStr">
        <is>
          <t>Inventory Status Breakdown</t>
        </is>
      </c>
      <c r="B24" s="5" t="n"/>
      <c r="C24" s="5" t="n"/>
      <c r="D24" s="6" t="n"/>
    </row>
    <row r="25">
      <c r="A25" s="9" t="inlineStr">
        <is>
          <t>Status</t>
        </is>
      </c>
      <c r="B25" s="9" t="inlineStr">
        <is>
          <t>SKU Count</t>
        </is>
      </c>
      <c r="C25" s="9" t="inlineStr">
        <is>
          <t>Inventory Value</t>
        </is>
      </c>
    </row>
    <row r="26">
      <c r="A26" t="inlineStr">
        <is>
          <t>Healthy</t>
        </is>
      </c>
      <c r="B26" s="10" t="n">
        <v>39</v>
      </c>
      <c r="C26" s="11" t="n">
        <v>82359.88</v>
      </c>
    </row>
    <row r="27">
      <c r="A27" t="inlineStr">
        <is>
          <t>Stockout Risk</t>
        </is>
      </c>
      <c r="B27" s="10" t="n">
        <v>21</v>
      </c>
      <c r="C27" s="11" t="n">
        <v>9173.15</v>
      </c>
    </row>
    <row r="28">
      <c r="A28" t="inlineStr">
        <is>
          <t>Excess</t>
        </is>
      </c>
      <c r="B28" s="10" t="n">
        <v>20</v>
      </c>
      <c r="C28" s="11" t="n">
        <v>69387.42999999999</v>
      </c>
    </row>
    <row r="29">
      <c r="A29" t="inlineStr">
        <is>
          <t>Slow-Moving</t>
        </is>
      </c>
      <c r="B29" s="10" t="n">
        <v>5</v>
      </c>
      <c r="C29" s="11" t="n">
        <v>7107.709999999999</v>
      </c>
    </row>
    <row r="30">
      <c r="A30" t="inlineStr">
        <is>
          <t>Excess / Aged</t>
        </is>
      </c>
      <c r="B30" s="10" t="n">
        <v>34</v>
      </c>
      <c r="C30" s="11" t="n">
        <v>149907.2</v>
      </c>
    </row>
    <row r="31">
      <c r="A31" t="inlineStr">
        <is>
          <t>Obsolete</t>
        </is>
      </c>
      <c r="B31" s="10" t="n">
        <v>1</v>
      </c>
      <c r="C31" s="11" t="n">
        <v>2215.4</v>
      </c>
    </row>
    <row r="32"/>
    <row r="33"/>
    <row r="34">
      <c r="A34" s="4" t="inlineStr">
        <is>
          <t>Aging Bucket Summary</t>
        </is>
      </c>
      <c r="B34" s="5" t="n"/>
      <c r="C34" s="5" t="n"/>
      <c r="D34" s="6" t="n"/>
    </row>
    <row r="35">
      <c r="A35" s="9" t="inlineStr">
        <is>
          <t>Aging Bucket</t>
        </is>
      </c>
      <c r="B35" s="9" t="inlineStr">
        <is>
          <t>SKU Count</t>
        </is>
      </c>
      <c r="C35" s="9" t="inlineStr">
        <is>
          <t>Inventory Value</t>
        </is>
      </c>
    </row>
    <row r="36">
      <c r="A36" t="inlineStr">
        <is>
          <t>0-90 Days</t>
        </is>
      </c>
      <c r="B36" s="10" t="n">
        <v>22</v>
      </c>
      <c r="C36" s="11" t="n">
        <v>54837.69</v>
      </c>
    </row>
    <row r="37">
      <c r="A37" t="inlineStr">
        <is>
          <t>91-180 Days</t>
        </is>
      </c>
      <c r="B37" s="10" t="n">
        <v>19</v>
      </c>
      <c r="C37" s="11" t="n">
        <v>43764.88</v>
      </c>
    </row>
    <row r="38">
      <c r="A38" t="inlineStr">
        <is>
          <t>181-365 Days</t>
        </is>
      </c>
      <c r="B38" s="10" t="n">
        <v>67</v>
      </c>
      <c r="C38" s="11" t="n">
        <v>190640.65</v>
      </c>
    </row>
    <row r="39">
      <c r="A39" t="inlineStr">
        <is>
          <t>365+ Days</t>
        </is>
      </c>
      <c r="B39" s="10" t="n">
        <v>12</v>
      </c>
      <c r="C39" s="11" t="n">
        <v>30907.55</v>
      </c>
    </row>
    <row r="40"/>
    <row r="41"/>
    <row r="42">
      <c r="A42" s="4" t="inlineStr">
        <is>
          <t>Recommended Action Summary</t>
        </is>
      </c>
      <c r="B42" s="5" t="n"/>
      <c r="C42" s="5" t="n"/>
      <c r="D42" s="6" t="n"/>
    </row>
    <row r="43">
      <c r="A43" s="9" t="inlineStr">
        <is>
          <t>Recommended Action</t>
        </is>
      </c>
      <c r="B43" s="9" t="inlineStr">
        <is>
          <t>SKU Count</t>
        </is>
      </c>
      <c r="C43" s="9" t="inlineStr">
        <is>
          <t>Inventory Value</t>
        </is>
      </c>
    </row>
    <row r="44">
      <c r="A44" t="inlineStr">
        <is>
          <t>Monitor</t>
        </is>
      </c>
      <c r="B44" s="10" t="n">
        <v>39</v>
      </c>
      <c r="C44" s="11" t="n">
        <v>82359.88</v>
      </c>
    </row>
    <row r="45">
      <c r="A45" t="inlineStr">
        <is>
          <t>Replenish</t>
        </is>
      </c>
      <c r="B45" s="10" t="n">
        <v>21</v>
      </c>
      <c r="C45" s="11" t="n">
        <v>9173.15</v>
      </c>
    </row>
    <row r="46">
      <c r="A46" t="inlineStr">
        <is>
          <t>Review Transfer</t>
        </is>
      </c>
      <c r="B46" s="10" t="n">
        <v>20</v>
      </c>
      <c r="C46" s="11" t="n">
        <v>69387.42999999999</v>
      </c>
    </row>
    <row r="47">
      <c r="A47" t="inlineStr">
        <is>
          <t>Transfer or Markdown</t>
        </is>
      </c>
      <c r="B47" s="10" t="n">
        <v>34</v>
      </c>
      <c r="C47" s="11" t="n">
        <v>149907.2</v>
      </c>
    </row>
    <row r="48">
      <c r="A48" t="inlineStr">
        <is>
          <t>Markdown Review</t>
        </is>
      </c>
      <c r="B48" s="10" t="n">
        <v>5</v>
      </c>
      <c r="C48" s="11" t="n">
        <v>7107.709999999999</v>
      </c>
    </row>
    <row r="49">
      <c r="A49" t="inlineStr">
        <is>
          <t>Liquidate</t>
        </is>
      </c>
      <c r="B49" s="10" t="n">
        <v>1</v>
      </c>
      <c r="C49" s="11" t="n">
        <v>2215.4</v>
      </c>
    </row>
    <row r="50"/>
    <row r="51"/>
    <row r="52">
      <c r="A52" s="4" t="inlineStr">
        <is>
          <t>Top 10 Excess Inventory Items</t>
        </is>
      </c>
      <c r="B52" s="5" t="n"/>
      <c r="C52" s="5" t="n"/>
      <c r="D52" s="6" t="n"/>
    </row>
    <row r="53">
      <c r="A53" s="9" t="inlineStr">
        <is>
          <t>SKU</t>
        </is>
      </c>
      <c r="B53" s="9" t="inlineStr">
        <is>
          <t>Product Name</t>
        </is>
      </c>
      <c r="C53" s="9" t="inlineStr">
        <is>
          <t>Location</t>
        </is>
      </c>
      <c r="D53" s="9" t="inlineStr">
        <is>
          <t>Excess Qty</t>
        </is>
      </c>
      <c r="E53" s="9" t="inlineStr">
        <is>
          <t>Excess Value</t>
        </is>
      </c>
    </row>
    <row r="54">
      <c r="A54" t="inlineStr">
        <is>
          <t>T-1003</t>
        </is>
      </c>
      <c r="B54" t="inlineStr">
        <is>
          <t>Mavis Fleet HD 225/75R16</t>
        </is>
      </c>
      <c r="C54" t="inlineStr">
        <is>
          <t>Store-Bronx</t>
        </is>
      </c>
      <c r="D54" s="10" t="n">
        <v>50</v>
      </c>
      <c r="E54" s="11" t="n">
        <v>7437.5</v>
      </c>
    </row>
    <row r="55">
      <c r="A55" t="inlineStr">
        <is>
          <t>T-1019</t>
        </is>
      </c>
      <c r="B55" t="inlineStr">
        <is>
          <t>Impact Wrench 1/2in 20V</t>
        </is>
      </c>
      <c r="C55" t="inlineStr">
        <is>
          <t>Store-Brooklyn</t>
        </is>
      </c>
      <c r="D55" s="10" t="n">
        <v>27</v>
      </c>
      <c r="E55" s="11" t="n">
        <v>5478.57</v>
      </c>
    </row>
    <row r="56">
      <c r="A56" t="inlineStr">
        <is>
          <t>B-1045</t>
        </is>
      </c>
      <c r="B56" t="inlineStr">
        <is>
          <t>Deep Cycle Marine 27DC</t>
        </is>
      </c>
      <c r="C56" t="inlineStr">
        <is>
          <t>Store-Brooklyn</t>
        </is>
      </c>
      <c r="D56" s="10" t="n">
        <v>29</v>
      </c>
      <c r="E56" s="11" t="n">
        <v>4182.67</v>
      </c>
    </row>
    <row r="57">
      <c r="A57" t="inlineStr">
        <is>
          <t>T-1023</t>
        </is>
      </c>
      <c r="B57" t="inlineStr">
        <is>
          <t>Impact Wrench 1/2in 20V</t>
        </is>
      </c>
      <c r="C57" t="inlineStr">
        <is>
          <t>DC-PA</t>
        </is>
      </c>
      <c r="D57" s="10" t="n">
        <v>20</v>
      </c>
      <c r="E57" s="11" t="n">
        <v>4122</v>
      </c>
    </row>
    <row r="58">
      <c r="A58" t="inlineStr">
        <is>
          <t>T-1096</t>
        </is>
      </c>
      <c r="B58" t="inlineStr">
        <is>
          <t>Mavis Sport Grip 245/40R18</t>
        </is>
      </c>
      <c r="C58" t="inlineStr">
        <is>
          <t>Store-Queens</t>
        </is>
      </c>
      <c r="D58" s="10" t="n">
        <v>28</v>
      </c>
      <c r="E58" s="11" t="n">
        <v>3627.96</v>
      </c>
    </row>
    <row r="59">
      <c r="A59" t="inlineStr">
        <is>
          <t>B-1055</t>
        </is>
      </c>
      <c r="B59" t="inlineStr">
        <is>
          <t>Deep Cycle Marine 27DC</t>
        </is>
      </c>
      <c r="C59" t="inlineStr">
        <is>
          <t>Store-Brooklyn</t>
        </is>
      </c>
      <c r="D59" s="10" t="n">
        <v>19</v>
      </c>
      <c r="E59" s="11" t="n">
        <v>2803.07</v>
      </c>
    </row>
    <row r="60">
      <c r="A60" t="inlineStr">
        <is>
          <t>B-1098</t>
        </is>
      </c>
      <c r="B60" t="inlineStr">
        <is>
          <t>Mavis PowerStart 24F</t>
        </is>
      </c>
      <c r="C60" t="inlineStr">
        <is>
          <t>DC-PA</t>
        </is>
      </c>
      <c r="D60" s="10" t="n">
        <v>21</v>
      </c>
      <c r="E60" s="11" t="n">
        <v>2562.63</v>
      </c>
    </row>
    <row r="61">
      <c r="A61" t="inlineStr">
        <is>
          <t>B-1030</t>
        </is>
      </c>
      <c r="B61" t="inlineStr">
        <is>
          <t>Mavis AGM 47H6</t>
        </is>
      </c>
      <c r="C61" t="inlineStr">
        <is>
          <t>Store-Manhattan</t>
        </is>
      </c>
      <c r="D61" s="10" t="n">
        <v>13</v>
      </c>
      <c r="E61" s="11" t="n">
        <v>2496.13</v>
      </c>
    </row>
    <row r="62">
      <c r="A62" t="inlineStr">
        <is>
          <t>T-1072</t>
        </is>
      </c>
      <c r="B62" t="inlineStr">
        <is>
          <t>Mavis Sport Grip 245/40R18</t>
        </is>
      </c>
      <c r="C62" t="inlineStr">
        <is>
          <t>Store-Newark</t>
        </is>
      </c>
      <c r="D62" s="10" t="n">
        <v>18</v>
      </c>
      <c r="E62" s="11" t="n">
        <v>2352.78</v>
      </c>
    </row>
    <row r="63">
      <c r="A63" t="inlineStr">
        <is>
          <t>BP-1048</t>
        </is>
      </c>
      <c r="B63" t="inlineStr">
        <is>
          <t>Reman Brake Caliper - Rear</t>
        </is>
      </c>
      <c r="C63" t="inlineStr">
        <is>
          <t>Store-Newark</t>
        </is>
      </c>
      <c r="D63" s="10" t="n">
        <v>29</v>
      </c>
      <c r="E63" s="11" t="n">
        <v>2032.32</v>
      </c>
    </row>
  </sheetData>
  <mergeCells count="27">
    <mergeCell ref="C6:D6"/>
    <mergeCell ref="I6:J6"/>
    <mergeCell ref="A52:D52"/>
    <mergeCell ref="A6:B6"/>
    <mergeCell ref="C4:D4"/>
    <mergeCell ref="E4:F4"/>
    <mergeCell ref="A9:D9"/>
    <mergeCell ref="A42:D42"/>
    <mergeCell ref="A7:B7"/>
    <mergeCell ref="G7:H7"/>
    <mergeCell ref="A34:D34"/>
    <mergeCell ref="I7:J7"/>
    <mergeCell ref="A24:D24"/>
    <mergeCell ref="G6:H6"/>
    <mergeCell ref="A3:B3"/>
    <mergeCell ref="G3:H3"/>
    <mergeCell ref="I3:J3"/>
    <mergeCell ref="A1:J1"/>
    <mergeCell ref="E6:F6"/>
    <mergeCell ref="A4:B4"/>
    <mergeCell ref="G4:H4"/>
    <mergeCell ref="I4:J4"/>
    <mergeCell ref="C7:D7"/>
    <mergeCell ref="E7:F7"/>
    <mergeCell ref="A2:J2"/>
    <mergeCell ref="C3:D3"/>
    <mergeCell ref="E3:F3"/>
  </mergeCells>
  <printOptions horizontalCentered="1"/>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N83"/>
  <sheetViews>
    <sheetView showGridLines="0" workbookViewId="0">
      <pane ySplit="2" topLeftCell="A3" activePane="bottomLeft" state="frozen"/>
      <selection pane="bottomLeft" activeCell="A1" sqref="A1"/>
    </sheetView>
  </sheetViews>
  <sheetFormatPr baseColWidth="8" defaultRowHeight="15"/>
  <cols>
    <col width="40" customWidth="1" min="1" max="1"/>
    <col width="31" customWidth="1" min="2" max="2"/>
    <col width="19" customWidth="1" min="3" max="3"/>
    <col width="18" customWidth="1" min="4" max="4"/>
    <col width="11" customWidth="1" min="5" max="5"/>
    <col width="17" customWidth="1" min="6" max="6"/>
    <col width="10" customWidth="1" min="7" max="7"/>
    <col width="15" customWidth="1" min="8" max="8"/>
    <col width="19" customWidth="1" min="9" max="9"/>
    <col width="17" customWidth="1" min="10" max="10"/>
    <col width="12" customWidth="1" min="11" max="11"/>
    <col width="15" customWidth="1" min="12" max="12"/>
    <col width="22" customWidth="1" min="13" max="13"/>
    <col width="40" customWidth="1" min="14" max="14"/>
  </cols>
  <sheetData>
    <row r="1" ht="28" customHeight="1">
      <c r="A1" s="8" t="inlineStr">
        <is>
          <t>Aged Excess Analysis — 81 Exception Items</t>
        </is>
      </c>
    </row>
    <row r="2" ht="22" customHeight="1">
      <c r="A2" s="9" t="inlineStr">
        <is>
          <t>SKU</t>
        </is>
      </c>
      <c r="B2" s="9" t="inlineStr">
        <is>
          <t>Product Name</t>
        </is>
      </c>
      <c r="C2" s="9" t="inlineStr">
        <is>
          <t>Location</t>
        </is>
      </c>
      <c r="D2" s="9" t="inlineStr">
        <is>
          <t>Quantity On Hand</t>
        </is>
      </c>
      <c r="E2" s="9" t="inlineStr">
        <is>
          <t>Max Stock</t>
        </is>
      </c>
      <c r="F2" s="9" t="inlineStr">
        <is>
          <t>Excess Quantity</t>
        </is>
      </c>
      <c r="G2" s="9" t="inlineStr">
        <is>
          <t>Age Days</t>
        </is>
      </c>
      <c r="H2" s="9" t="inlineStr">
        <is>
          <t>90 Day Demand</t>
        </is>
      </c>
      <c r="I2" s="9" t="inlineStr">
        <is>
          <t>Sell Through Rate</t>
        </is>
      </c>
      <c r="J2" s="9" t="inlineStr">
        <is>
          <t>Inventory Value</t>
        </is>
      </c>
      <c r="K2" s="9" t="inlineStr">
        <is>
          <t>Risk Level</t>
        </is>
      </c>
      <c r="L2" s="9" t="inlineStr">
        <is>
          <t>Issue Type</t>
        </is>
      </c>
      <c r="M2" s="9" t="inlineStr">
        <is>
          <t>Recommended Action</t>
        </is>
      </c>
      <c r="N2" s="9" t="inlineStr">
        <is>
          <t>Analyst Notes</t>
        </is>
      </c>
    </row>
    <row r="3">
      <c r="A3" t="inlineStr">
        <is>
          <t>T-1019</t>
        </is>
      </c>
      <c r="B3" t="inlineStr">
        <is>
          <t>Impact Wrench 1/2in 20V</t>
        </is>
      </c>
      <c r="C3" t="inlineStr">
        <is>
          <t>Store-Brooklyn</t>
        </is>
      </c>
      <c r="D3" s="10" t="n">
        <v>63</v>
      </c>
      <c r="E3" s="10" t="n">
        <v>36</v>
      </c>
      <c r="F3" s="10" t="n">
        <v>27</v>
      </c>
      <c r="G3" s="10" t="n">
        <v>212</v>
      </c>
      <c r="H3" s="10" t="n">
        <v>32</v>
      </c>
      <c r="I3" s="13" t="n">
        <v>0.3368</v>
      </c>
      <c r="J3" s="11" t="n">
        <v>12783.33</v>
      </c>
      <c r="K3" t="inlineStr">
        <is>
          <t>High</t>
        </is>
      </c>
      <c r="L3" t="inlineStr">
        <is>
          <t>Excess / Aged</t>
        </is>
      </c>
      <c r="M3" t="inlineStr">
        <is>
          <t>Transfer or Markdown</t>
        </is>
      </c>
      <c r="N3" t="inlineStr">
        <is>
          <t>Over max stock with extended age — evaluate transfer before markdown.</t>
        </is>
      </c>
    </row>
    <row r="4">
      <c r="A4" t="inlineStr">
        <is>
          <t>T-1003</t>
        </is>
      </c>
      <c r="B4" t="inlineStr">
        <is>
          <t>Mavis Fleet HD 225/75R16</t>
        </is>
      </c>
      <c r="C4" t="inlineStr">
        <is>
          <t>Store-Bronx</t>
        </is>
      </c>
      <c r="D4" s="10" t="n">
        <v>85</v>
      </c>
      <c r="E4" s="10" t="n">
        <v>35</v>
      </c>
      <c r="F4" s="10" t="n">
        <v>50</v>
      </c>
      <c r="G4" s="10" t="n">
        <v>245</v>
      </c>
      <c r="H4" s="10" t="n">
        <v>6</v>
      </c>
      <c r="I4" s="13" t="n">
        <v>0.0659</v>
      </c>
      <c r="J4" s="11" t="n">
        <v>12643.75</v>
      </c>
      <c r="K4" t="inlineStr">
        <is>
          <t>High</t>
        </is>
      </c>
      <c r="L4" t="inlineStr">
        <is>
          <t>Excess / Aged</t>
        </is>
      </c>
      <c r="M4" t="inlineStr">
        <is>
          <t>Transfer or Markdown</t>
        </is>
      </c>
      <c r="N4" t="inlineStr">
        <is>
          <t>Over max stock with extended age — evaluate transfer before markdown.</t>
        </is>
      </c>
    </row>
    <row r="5">
      <c r="A5" t="inlineStr">
        <is>
          <t>T-1023</t>
        </is>
      </c>
      <c r="B5" t="inlineStr">
        <is>
          <t>Impact Wrench 1/2in 20V</t>
        </is>
      </c>
      <c r="C5" t="inlineStr">
        <is>
          <t>DC-PA</t>
        </is>
      </c>
      <c r="D5" s="10" t="n">
        <v>61</v>
      </c>
      <c r="E5" s="10" t="n">
        <v>41</v>
      </c>
      <c r="F5" s="10" t="n">
        <v>20</v>
      </c>
      <c r="G5" s="10" t="n">
        <v>245</v>
      </c>
      <c r="H5" s="10" t="n">
        <v>19</v>
      </c>
      <c r="I5" s="13" t="n">
        <v>0.2375</v>
      </c>
      <c r="J5" s="11" t="n">
        <v>12572.1</v>
      </c>
      <c r="K5" t="inlineStr">
        <is>
          <t>High</t>
        </is>
      </c>
      <c r="L5" t="inlineStr">
        <is>
          <t>Excess / Aged</t>
        </is>
      </c>
      <c r="M5" t="inlineStr">
        <is>
          <t>Transfer or Markdown</t>
        </is>
      </c>
      <c r="N5" t="inlineStr">
        <is>
          <t>Over max stock with extended age — evaluate transfer before markdown.</t>
        </is>
      </c>
    </row>
    <row r="6">
      <c r="A6" t="inlineStr">
        <is>
          <t>B-1055</t>
        </is>
      </c>
      <c r="B6" t="inlineStr">
        <is>
          <t>Deep Cycle Marine 27DC</t>
        </is>
      </c>
      <c r="C6" t="inlineStr">
        <is>
          <t>Store-Brooklyn</t>
        </is>
      </c>
      <c r="D6" s="10" t="n">
        <v>79</v>
      </c>
      <c r="E6" s="10" t="n">
        <v>60</v>
      </c>
      <c r="F6" s="10" t="n">
        <v>19</v>
      </c>
      <c r="G6" s="10" t="n">
        <v>197</v>
      </c>
      <c r="H6" s="10" t="n">
        <v>27</v>
      </c>
      <c r="I6" s="13" t="n">
        <v>0.2547</v>
      </c>
      <c r="J6" s="11" t="n">
        <v>11654.87</v>
      </c>
      <c r="K6" t="inlineStr">
        <is>
          <t>High</t>
        </is>
      </c>
      <c r="L6" t="inlineStr">
        <is>
          <t>Excess / Aged</t>
        </is>
      </c>
      <c r="M6" t="inlineStr">
        <is>
          <t>Transfer or Markdown</t>
        </is>
      </c>
      <c r="N6" t="inlineStr">
        <is>
          <t>Over max stock with extended age — evaluate transfer before markdown.</t>
        </is>
      </c>
    </row>
    <row r="7">
      <c r="A7" t="inlineStr">
        <is>
          <t>B-1045</t>
        </is>
      </c>
      <c r="B7" t="inlineStr">
        <is>
          <t>Deep Cycle Marine 27DC</t>
        </is>
      </c>
      <c r="C7" t="inlineStr">
        <is>
          <t>Store-Brooklyn</t>
        </is>
      </c>
      <c r="D7" s="10" t="n">
        <v>79</v>
      </c>
      <c r="E7" s="10" t="n">
        <v>50</v>
      </c>
      <c r="F7" s="10" t="n">
        <v>29</v>
      </c>
      <c r="G7" s="10" t="n">
        <v>365</v>
      </c>
      <c r="H7" s="10" t="n">
        <v>26</v>
      </c>
      <c r="I7" s="13" t="n">
        <v>0.2476</v>
      </c>
      <c r="J7" s="11" t="n">
        <v>11394.17</v>
      </c>
      <c r="K7" t="inlineStr">
        <is>
          <t>High</t>
        </is>
      </c>
      <c r="L7" t="inlineStr">
        <is>
          <t>Excess / Aged</t>
        </is>
      </c>
      <c r="M7" t="inlineStr">
        <is>
          <t>Transfer or Markdown</t>
        </is>
      </c>
      <c r="N7" t="inlineStr">
        <is>
          <t>Over max stock with extended age — evaluate transfer before markdown.</t>
        </is>
      </c>
    </row>
    <row r="8">
      <c r="A8" t="inlineStr">
        <is>
          <t>B-1098</t>
        </is>
      </c>
      <c r="B8" t="inlineStr">
        <is>
          <t>Mavis PowerStart 24F</t>
        </is>
      </c>
      <c r="C8" t="inlineStr">
        <is>
          <t>DC-PA</t>
        </is>
      </c>
      <c r="D8" s="10" t="n">
        <v>79</v>
      </c>
      <c r="E8" s="10" t="n">
        <v>58</v>
      </c>
      <c r="F8" s="10" t="n">
        <v>21</v>
      </c>
      <c r="G8" s="10" t="n">
        <v>269</v>
      </c>
      <c r="H8" s="10" t="n">
        <v>19</v>
      </c>
      <c r="I8" s="13" t="n">
        <v>0.1939</v>
      </c>
      <c r="J8" s="11" t="n">
        <v>9640.370000000001</v>
      </c>
      <c r="K8" t="inlineStr">
        <is>
          <t>High</t>
        </is>
      </c>
      <c r="L8" t="inlineStr">
        <is>
          <t>Excess / Aged</t>
        </is>
      </c>
      <c r="M8" t="inlineStr">
        <is>
          <t>Transfer or Markdown</t>
        </is>
      </c>
      <c r="N8" t="inlineStr">
        <is>
          <t>Over max stock with extended age — evaluate transfer before markdown.</t>
        </is>
      </c>
    </row>
    <row r="9">
      <c r="A9" t="inlineStr">
        <is>
          <t>T-1037</t>
        </is>
      </c>
      <c r="B9" t="inlineStr">
        <is>
          <t>Hydraulic Floor Jack 3-Ton</t>
        </is>
      </c>
      <c r="C9" t="inlineStr">
        <is>
          <t>DC-NJ</t>
        </is>
      </c>
      <c r="D9" s="10" t="n">
        <v>56</v>
      </c>
      <c r="E9" s="10" t="n">
        <v>44</v>
      </c>
      <c r="F9" s="10" t="n">
        <v>12</v>
      </c>
      <c r="G9" s="10" t="n">
        <v>367</v>
      </c>
      <c r="H9" s="10" t="n">
        <v>1</v>
      </c>
      <c r="I9" s="13" t="n">
        <v>0.0175</v>
      </c>
      <c r="J9" s="11" t="n">
        <v>9064.719999999999</v>
      </c>
      <c r="K9" t="inlineStr">
        <is>
          <t>High</t>
        </is>
      </c>
      <c r="L9" t="inlineStr">
        <is>
          <t>Excess / Aged</t>
        </is>
      </c>
      <c r="M9" t="inlineStr">
        <is>
          <t>Transfer or Markdown</t>
        </is>
      </c>
      <c r="N9" t="inlineStr">
        <is>
          <t>Over max stock with extended age — evaluate transfer before markdown.</t>
        </is>
      </c>
    </row>
    <row r="10">
      <c r="A10" t="inlineStr">
        <is>
          <t>B-1030</t>
        </is>
      </c>
      <c r="B10" t="inlineStr">
        <is>
          <t>Mavis AGM 47H6</t>
        </is>
      </c>
      <c r="C10" t="inlineStr">
        <is>
          <t>Store-Manhattan</t>
        </is>
      </c>
      <c r="D10" s="10" t="n">
        <v>43</v>
      </c>
      <c r="E10" s="10" t="n">
        <v>30</v>
      </c>
      <c r="F10" s="10" t="n">
        <v>13</v>
      </c>
      <c r="G10" s="10" t="n">
        <v>283</v>
      </c>
      <c r="H10" s="10" t="n">
        <v>4</v>
      </c>
      <c r="I10" s="13" t="n">
        <v>0.0851</v>
      </c>
      <c r="J10" s="11" t="n">
        <v>8256.43</v>
      </c>
      <c r="K10" t="inlineStr">
        <is>
          <t>High</t>
        </is>
      </c>
      <c r="L10" t="inlineStr">
        <is>
          <t>Excess / Aged</t>
        </is>
      </c>
      <c r="M10" t="inlineStr">
        <is>
          <t>Transfer or Markdown</t>
        </is>
      </c>
      <c r="N10" t="inlineStr">
        <is>
          <t>Over max stock with extended age — evaluate transfer before markdown.</t>
        </is>
      </c>
    </row>
    <row r="11">
      <c r="A11" t="inlineStr">
        <is>
          <t>B-1054</t>
        </is>
      </c>
      <c r="B11" t="inlineStr">
        <is>
          <t>Deep Cycle Marine 27DC</t>
        </is>
      </c>
      <c r="C11" t="inlineStr">
        <is>
          <t>Store-Yonkers</t>
        </is>
      </c>
      <c r="D11" s="10" t="n">
        <v>55</v>
      </c>
      <c r="E11" s="10" t="n">
        <v>53</v>
      </c>
      <c r="F11" s="10" t="n">
        <v>2</v>
      </c>
      <c r="G11" s="10" t="n">
        <v>271</v>
      </c>
      <c r="H11" s="10" t="n">
        <v>21</v>
      </c>
      <c r="I11" s="13" t="n">
        <v>0.2763</v>
      </c>
      <c r="J11" s="11" t="n">
        <v>7709.9</v>
      </c>
      <c r="K11" t="inlineStr">
        <is>
          <t>High</t>
        </is>
      </c>
      <c r="L11" t="inlineStr">
        <is>
          <t>Excess / Aged</t>
        </is>
      </c>
      <c r="M11" t="inlineStr">
        <is>
          <t>Transfer or Markdown</t>
        </is>
      </c>
      <c r="N11" t="inlineStr">
        <is>
          <t>Over max stock with extended age — evaluate transfer before markdown.</t>
        </is>
      </c>
    </row>
    <row r="12">
      <c r="A12" t="inlineStr">
        <is>
          <t>T-1072</t>
        </is>
      </c>
      <c r="B12" t="inlineStr">
        <is>
          <t>Mavis Sport Grip 245/40R18</t>
        </is>
      </c>
      <c r="C12" t="inlineStr">
        <is>
          <t>Store-Newark</t>
        </is>
      </c>
      <c r="D12" s="10" t="n">
        <v>57</v>
      </c>
      <c r="E12" s="10" t="n">
        <v>39</v>
      </c>
      <c r="F12" s="10" t="n">
        <v>18</v>
      </c>
      <c r="G12" s="10" t="n">
        <v>352</v>
      </c>
      <c r="H12" s="10" t="n">
        <v>1</v>
      </c>
      <c r="I12" s="13" t="n">
        <v>0.0172</v>
      </c>
      <c r="J12" s="11" t="n">
        <v>7450.47</v>
      </c>
      <c r="K12" t="inlineStr">
        <is>
          <t>High</t>
        </is>
      </c>
      <c r="L12" t="inlineStr">
        <is>
          <t>Excess / Aged</t>
        </is>
      </c>
      <c r="M12" t="inlineStr">
        <is>
          <t>Transfer or Markdown</t>
        </is>
      </c>
      <c r="N12" t="inlineStr">
        <is>
          <t>Over max stock with extended age — evaluate transfer before markdown.</t>
        </is>
      </c>
    </row>
    <row r="13">
      <c r="A13" t="inlineStr">
        <is>
          <t>B-1087</t>
        </is>
      </c>
      <c r="B13" t="inlineStr">
        <is>
          <t>Deep Cycle Marine 27DC</t>
        </is>
      </c>
      <c r="C13" t="inlineStr">
        <is>
          <t>Store-Manhattan</t>
        </is>
      </c>
      <c r="D13" s="10" t="n">
        <v>38</v>
      </c>
      <c r="E13" s="10" t="n">
        <v>37</v>
      </c>
      <c r="F13" s="10" t="n">
        <v>1</v>
      </c>
      <c r="G13" s="10" t="n">
        <v>264</v>
      </c>
      <c r="H13" s="10" t="n">
        <v>18</v>
      </c>
      <c r="I13" s="13" t="n">
        <v>0.3214</v>
      </c>
      <c r="J13" s="11" t="n">
        <v>5536.22</v>
      </c>
      <c r="K13" t="inlineStr">
        <is>
          <t>High</t>
        </is>
      </c>
      <c r="L13" t="inlineStr">
        <is>
          <t>Excess / Aged</t>
        </is>
      </c>
      <c r="M13" t="inlineStr">
        <is>
          <t>Transfer or Markdown</t>
        </is>
      </c>
      <c r="N13" t="inlineStr">
        <is>
          <t>Over max stock with extended age — evaluate transfer before markdown.</t>
        </is>
      </c>
    </row>
    <row r="14">
      <c r="A14" t="inlineStr">
        <is>
          <t>B-1071</t>
        </is>
      </c>
      <c r="B14" t="inlineStr">
        <is>
          <t>Deep Cycle Marine 27DC</t>
        </is>
      </c>
      <c r="C14" t="inlineStr">
        <is>
          <t>Store-Queens</t>
        </is>
      </c>
      <c r="D14" s="10" t="n">
        <v>34</v>
      </c>
      <c r="E14" s="10" t="n">
        <v>32</v>
      </c>
      <c r="F14" s="10" t="n">
        <v>2</v>
      </c>
      <c r="G14" s="10" t="n">
        <v>386</v>
      </c>
      <c r="H14" s="10" t="n">
        <v>25</v>
      </c>
      <c r="I14" s="13" t="n">
        <v>0.4237</v>
      </c>
      <c r="J14" s="11" t="n">
        <v>4754.22</v>
      </c>
      <c r="K14" t="inlineStr">
        <is>
          <t>High</t>
        </is>
      </c>
      <c r="L14" t="inlineStr">
        <is>
          <t>Excess / Aged</t>
        </is>
      </c>
      <c r="M14" t="inlineStr">
        <is>
          <t>Transfer or Markdown</t>
        </is>
      </c>
      <c r="N14" t="inlineStr">
        <is>
          <t>Over max stock with extended age — evaluate transfer before markdown.</t>
        </is>
      </c>
    </row>
    <row r="15">
      <c r="A15" t="inlineStr">
        <is>
          <t>BP-1075</t>
        </is>
      </c>
      <c r="B15" t="inlineStr">
        <is>
          <t>Vented Brake Rotor 11.8in</t>
        </is>
      </c>
      <c r="C15" t="inlineStr">
        <is>
          <t>DC-NY</t>
        </is>
      </c>
      <c r="D15" s="10" t="n">
        <v>84</v>
      </c>
      <c r="E15" s="10" t="n">
        <v>51</v>
      </c>
      <c r="F15" s="10" t="n">
        <v>33</v>
      </c>
      <c r="G15" s="10" t="n">
        <v>337</v>
      </c>
      <c r="H15" s="10" t="n">
        <v>33</v>
      </c>
      <c r="I15" s="13" t="n">
        <v>0.2821</v>
      </c>
      <c r="J15" s="11" t="n">
        <v>4251.24</v>
      </c>
      <c r="K15" t="inlineStr">
        <is>
          <t>High</t>
        </is>
      </c>
      <c r="L15" t="inlineStr">
        <is>
          <t>Excess / Aged</t>
        </is>
      </c>
      <c r="M15" t="inlineStr">
        <is>
          <t>Transfer or Markdown</t>
        </is>
      </c>
      <c r="N15" t="inlineStr">
        <is>
          <t>Over max stock with extended age — evaluate transfer before markdown.</t>
        </is>
      </c>
    </row>
    <row r="16">
      <c r="A16" t="inlineStr">
        <is>
          <t>A-1108</t>
        </is>
      </c>
      <c r="B16" t="inlineStr">
        <is>
          <t>LED Headlight Bulb H11 Pair</t>
        </is>
      </c>
      <c r="C16" t="inlineStr">
        <is>
          <t>Store-Brooklyn</t>
        </is>
      </c>
      <c r="D16" s="10" t="n">
        <v>84</v>
      </c>
      <c r="E16" s="10" t="n">
        <v>63</v>
      </c>
      <c r="F16" s="10" t="n">
        <v>21</v>
      </c>
      <c r="G16" s="10" t="n">
        <v>197</v>
      </c>
      <c r="H16" s="10" t="n">
        <v>11</v>
      </c>
      <c r="I16" s="13" t="n">
        <v>0.1158</v>
      </c>
      <c r="J16" s="11" t="n">
        <v>3247.44</v>
      </c>
      <c r="K16" t="inlineStr">
        <is>
          <t>High</t>
        </is>
      </c>
      <c r="L16" t="inlineStr">
        <is>
          <t>Excess / Aged</t>
        </is>
      </c>
      <c r="M16" t="inlineStr">
        <is>
          <t>Transfer or Markdown</t>
        </is>
      </c>
      <c r="N16" t="inlineStr">
        <is>
          <t>Over max stock with extended age — evaluate transfer before markdown.</t>
        </is>
      </c>
    </row>
    <row r="17">
      <c r="A17" t="inlineStr">
        <is>
          <t>BP-1093</t>
        </is>
      </c>
      <c r="B17" t="inlineStr">
        <is>
          <t>Ceramic Brake Pad Set - Front</t>
        </is>
      </c>
      <c r="C17" t="inlineStr">
        <is>
          <t>Store-WhitePlains</t>
        </is>
      </c>
      <c r="D17" s="10" t="n">
        <v>72</v>
      </c>
      <c r="E17" s="10" t="n">
        <v>43</v>
      </c>
      <c r="F17" s="10" t="n">
        <v>29</v>
      </c>
      <c r="G17" s="10" t="n">
        <v>270</v>
      </c>
      <c r="H17" s="10" t="n">
        <v>11</v>
      </c>
      <c r="I17" s="13" t="n">
        <v>0.1325</v>
      </c>
      <c r="J17" s="11" t="n">
        <v>2394</v>
      </c>
      <c r="K17" t="inlineStr">
        <is>
          <t>High</t>
        </is>
      </c>
      <c r="L17" t="inlineStr">
        <is>
          <t>Excess / Aged</t>
        </is>
      </c>
      <c r="M17" t="inlineStr">
        <is>
          <t>Transfer or Markdown</t>
        </is>
      </c>
      <c r="N17" t="inlineStr">
        <is>
          <t>Over max stock with extended age — evaluate transfer before markdown.</t>
        </is>
      </c>
    </row>
    <row r="18">
      <c r="A18" t="inlineStr">
        <is>
          <t>F-1104</t>
        </is>
      </c>
      <c r="B18" t="inlineStr">
        <is>
          <t>Synthetic Motor Oil 5W-30 5qt</t>
        </is>
      </c>
      <c r="C18" t="inlineStr">
        <is>
          <t>Store-Manhattan</t>
        </is>
      </c>
      <c r="D18" s="10" t="n">
        <v>77</v>
      </c>
      <c r="E18" s="10" t="n">
        <v>61</v>
      </c>
      <c r="F18" s="10" t="n">
        <v>16</v>
      </c>
      <c r="G18" s="10" t="n">
        <v>262</v>
      </c>
      <c r="H18" s="10" t="n">
        <v>30</v>
      </c>
      <c r="I18" s="13" t="n">
        <v>0.2804</v>
      </c>
      <c r="J18" s="11" t="n">
        <v>2290.75</v>
      </c>
      <c r="K18" t="inlineStr">
        <is>
          <t>High</t>
        </is>
      </c>
      <c r="L18" t="inlineStr">
        <is>
          <t>Excess / Aged</t>
        </is>
      </c>
      <c r="M18" t="inlineStr">
        <is>
          <t>Transfer or Markdown</t>
        </is>
      </c>
      <c r="N18" t="inlineStr">
        <is>
          <t>Over max stock with extended age — evaluate transfer before markdown.</t>
        </is>
      </c>
    </row>
    <row r="19">
      <c r="A19" t="inlineStr">
        <is>
          <t>T-1002</t>
        </is>
      </c>
      <c r="B19" t="inlineStr">
        <is>
          <t>Mavis SnowTrack 205/55R16</t>
        </is>
      </c>
      <c r="C19" t="inlineStr">
        <is>
          <t>DC-PA</t>
        </is>
      </c>
      <c r="D19" s="10" t="n">
        <v>22</v>
      </c>
      <c r="E19" s="10" t="n">
        <v>40</v>
      </c>
      <c r="F19" s="10" t="n">
        <v>0</v>
      </c>
      <c r="G19" s="10" t="n">
        <v>410</v>
      </c>
      <c r="H19" s="10" t="n">
        <v>0</v>
      </c>
      <c r="I19" s="13" t="n">
        <v>0</v>
      </c>
      <c r="J19" s="11" t="n">
        <v>2215.4</v>
      </c>
      <c r="K19" t="inlineStr">
        <is>
          <t>High</t>
        </is>
      </c>
      <c r="L19" t="inlineStr">
        <is>
          <t>Obsolete</t>
        </is>
      </c>
      <c r="M19" t="inlineStr">
        <is>
          <t>Liquidate</t>
        </is>
      </c>
      <c r="N19" t="inlineStr">
        <is>
          <t>No 90-day demand and aged over 365 days — recommend liquidation review.</t>
        </is>
      </c>
    </row>
    <row r="20">
      <c r="A20" t="inlineStr">
        <is>
          <t>BP-1020</t>
        </is>
      </c>
      <c r="B20" t="inlineStr">
        <is>
          <t>Vented Brake Rotor 11.8in</t>
        </is>
      </c>
      <c r="C20" t="inlineStr">
        <is>
          <t>Store-Queens</t>
        </is>
      </c>
      <c r="D20" s="10" t="n">
        <v>47</v>
      </c>
      <c r="E20" s="10" t="n">
        <v>35</v>
      </c>
      <c r="F20" s="10" t="n">
        <v>12</v>
      </c>
      <c r="G20" s="10" t="n">
        <v>266</v>
      </c>
      <c r="H20" s="10" t="n">
        <v>21</v>
      </c>
      <c r="I20" s="13" t="n">
        <v>0.3088</v>
      </c>
      <c r="J20" s="11" t="n">
        <v>2203.36</v>
      </c>
      <c r="K20" t="inlineStr">
        <is>
          <t>High</t>
        </is>
      </c>
      <c r="L20" t="inlineStr">
        <is>
          <t>Excess / Aged</t>
        </is>
      </c>
      <c r="M20" t="inlineStr">
        <is>
          <t>Transfer or Markdown</t>
        </is>
      </c>
      <c r="N20" t="inlineStr">
        <is>
          <t>Over max stock with extended age — evaluate transfer before markdown.</t>
        </is>
      </c>
    </row>
    <row r="21">
      <c r="A21" t="inlineStr">
        <is>
          <t>A-1068</t>
        </is>
      </c>
      <c r="B21" t="inlineStr">
        <is>
          <t>LED Headlight Bulb H11 Pair</t>
        </is>
      </c>
      <c r="C21" t="inlineStr">
        <is>
          <t>Store-Stamford</t>
        </is>
      </c>
      <c r="D21" s="10" t="n">
        <v>52</v>
      </c>
      <c r="E21" s="10" t="n">
        <v>50</v>
      </c>
      <c r="F21" s="10" t="n">
        <v>2</v>
      </c>
      <c r="G21" s="10" t="n">
        <v>203</v>
      </c>
      <c r="H21" s="10" t="n">
        <v>4</v>
      </c>
      <c r="I21" s="13" t="n">
        <v>0.07140000000000001</v>
      </c>
      <c r="J21" s="11" t="n">
        <v>2126.8</v>
      </c>
      <c r="K21" t="inlineStr">
        <is>
          <t>High</t>
        </is>
      </c>
      <c r="L21" t="inlineStr">
        <is>
          <t>Excess / Aged</t>
        </is>
      </c>
      <c r="M21" t="inlineStr">
        <is>
          <t>Transfer or Markdown</t>
        </is>
      </c>
      <c r="N21" t="inlineStr">
        <is>
          <t>Over max stock with extended age — evaluate transfer before markdown.</t>
        </is>
      </c>
    </row>
    <row r="22">
      <c r="A22" t="inlineStr">
        <is>
          <t>F-1060</t>
        </is>
      </c>
      <c r="B22" t="inlineStr">
        <is>
          <t>Synthetic Motor Oil 5W-30 5qt</t>
        </is>
      </c>
      <c r="C22" t="inlineStr">
        <is>
          <t>Store-Newark</t>
        </is>
      </c>
      <c r="D22" s="10" t="n">
        <v>68</v>
      </c>
      <c r="E22" s="10" t="n">
        <v>37</v>
      </c>
      <c r="F22" s="10" t="n">
        <v>31</v>
      </c>
      <c r="G22" s="10" t="n">
        <v>259</v>
      </c>
      <c r="H22" s="10" t="n">
        <v>22</v>
      </c>
      <c r="I22" s="13" t="n">
        <v>0.2444</v>
      </c>
      <c r="J22" s="11" t="n">
        <v>2015.52</v>
      </c>
      <c r="K22" t="inlineStr">
        <is>
          <t>High</t>
        </is>
      </c>
      <c r="L22" t="inlineStr">
        <is>
          <t>Excess / Aged</t>
        </is>
      </c>
      <c r="M22" t="inlineStr">
        <is>
          <t>Transfer or Markdown</t>
        </is>
      </c>
      <c r="N22" t="inlineStr">
        <is>
          <t>Over max stock with extended age — evaluate transfer before markdown.</t>
        </is>
      </c>
    </row>
    <row r="23">
      <c r="A23" t="inlineStr">
        <is>
          <t>F-1061</t>
        </is>
      </c>
      <c r="B23" t="inlineStr">
        <is>
          <t>Synthetic Motor Oil 5W-30 5qt</t>
        </is>
      </c>
      <c r="C23" t="inlineStr">
        <is>
          <t>Store-Stamford</t>
        </is>
      </c>
      <c r="D23" s="10" t="n">
        <v>68</v>
      </c>
      <c r="E23" s="10" t="n">
        <v>36</v>
      </c>
      <c r="F23" s="10" t="n">
        <v>32</v>
      </c>
      <c r="G23" s="10" t="n">
        <v>402</v>
      </c>
      <c r="H23" s="10" t="n">
        <v>5</v>
      </c>
      <c r="I23" s="13" t="n">
        <v>0.06850000000000001</v>
      </c>
      <c r="J23" s="11" t="n">
        <v>1989.68</v>
      </c>
      <c r="K23" t="inlineStr">
        <is>
          <t>High</t>
        </is>
      </c>
      <c r="L23" t="inlineStr">
        <is>
          <t>Excess / Aged</t>
        </is>
      </c>
      <c r="M23" t="inlineStr">
        <is>
          <t>Transfer or Markdown</t>
        </is>
      </c>
      <c r="N23" t="inlineStr">
        <is>
          <t>Over max stock with extended age — evaluate transfer before markdown.</t>
        </is>
      </c>
    </row>
    <row r="24">
      <c r="A24" t="inlineStr">
        <is>
          <t>T-1103</t>
        </is>
      </c>
      <c r="B24" t="inlineStr">
        <is>
          <t>Impact Wrench 1/2in 20V</t>
        </is>
      </c>
      <c r="C24" t="inlineStr">
        <is>
          <t>Store-Queens</t>
        </is>
      </c>
      <c r="D24" s="10" t="n">
        <v>10</v>
      </c>
      <c r="E24" s="10" t="n">
        <v>37</v>
      </c>
      <c r="F24" s="10" t="n">
        <v>0</v>
      </c>
      <c r="G24" s="10" t="n">
        <v>253</v>
      </c>
      <c r="H24" s="10" t="n">
        <v>19</v>
      </c>
      <c r="I24" s="13" t="n">
        <v>0.6552</v>
      </c>
      <c r="J24" s="11" t="n">
        <v>1945.8</v>
      </c>
      <c r="K24" t="inlineStr">
        <is>
          <t>High</t>
        </is>
      </c>
      <c r="L24" t="inlineStr">
        <is>
          <t>Stockout Risk</t>
        </is>
      </c>
      <c r="M24" t="inlineStr">
        <is>
          <t>Replenish</t>
        </is>
      </c>
      <c r="N24" t="inlineStr">
        <is>
          <t>Below minimum stock — prioritize replenishment to avoid lost sales.</t>
        </is>
      </c>
    </row>
    <row r="25">
      <c r="A25" t="inlineStr">
        <is>
          <t>A-1046</t>
        </is>
      </c>
      <c r="B25" t="inlineStr">
        <is>
          <t>Serpentine Belt 6-Rib 68in</t>
        </is>
      </c>
      <c r="C25" t="inlineStr">
        <is>
          <t>Store-Queens</t>
        </is>
      </c>
      <c r="D25" s="10" t="n">
        <v>75</v>
      </c>
      <c r="E25" s="10" t="n">
        <v>43</v>
      </c>
      <c r="F25" s="10" t="n">
        <v>32</v>
      </c>
      <c r="G25" s="10" t="n">
        <v>365</v>
      </c>
      <c r="H25" s="10" t="n">
        <v>9</v>
      </c>
      <c r="I25" s="13" t="n">
        <v>0.1071</v>
      </c>
      <c r="J25" s="11" t="n">
        <v>1791</v>
      </c>
      <c r="K25" t="inlineStr">
        <is>
          <t>High</t>
        </is>
      </c>
      <c r="L25" t="inlineStr">
        <is>
          <t>Excess / Aged</t>
        </is>
      </c>
      <c r="M25" t="inlineStr">
        <is>
          <t>Transfer or Markdown</t>
        </is>
      </c>
      <c r="N25" t="inlineStr">
        <is>
          <t>Over max stock with extended age — evaluate transfer before markdown.</t>
        </is>
      </c>
    </row>
    <row r="26">
      <c r="A26" t="inlineStr">
        <is>
          <t>BP-1073</t>
        </is>
      </c>
      <c r="B26" t="inlineStr">
        <is>
          <t>Ceramic Brake Pad Set - Front</t>
        </is>
      </c>
      <c r="C26" t="inlineStr">
        <is>
          <t>Store-WhitePlains</t>
        </is>
      </c>
      <c r="D26" s="10" t="n">
        <v>46</v>
      </c>
      <c r="E26" s="10" t="n">
        <v>33</v>
      </c>
      <c r="F26" s="10" t="n">
        <v>13</v>
      </c>
      <c r="G26" s="10" t="n">
        <v>377</v>
      </c>
      <c r="H26" s="10" t="n">
        <v>30</v>
      </c>
      <c r="I26" s="13" t="n">
        <v>0.3947</v>
      </c>
      <c r="J26" s="11" t="n">
        <v>1534.56</v>
      </c>
      <c r="K26" t="inlineStr">
        <is>
          <t>High</t>
        </is>
      </c>
      <c r="L26" t="inlineStr">
        <is>
          <t>Excess / Aged</t>
        </is>
      </c>
      <c r="M26" t="inlineStr">
        <is>
          <t>Transfer or Markdown</t>
        </is>
      </c>
      <c r="N26" t="inlineStr">
        <is>
          <t>Over max stock with extended age — evaluate transfer before markdown.</t>
        </is>
      </c>
    </row>
    <row r="27">
      <c r="A27" t="inlineStr">
        <is>
          <t>SS-1106</t>
        </is>
      </c>
      <c r="B27" t="inlineStr">
        <is>
          <t>Nitrile Gloves Box/100</t>
        </is>
      </c>
      <c r="C27" t="inlineStr">
        <is>
          <t>Store-Queens</t>
        </is>
      </c>
      <c r="D27" s="10" t="n">
        <v>78</v>
      </c>
      <c r="E27" s="10" t="n">
        <v>47</v>
      </c>
      <c r="F27" s="10" t="n">
        <v>31</v>
      </c>
      <c r="G27" s="10" t="n">
        <v>276</v>
      </c>
      <c r="H27" s="10" t="n">
        <v>14</v>
      </c>
      <c r="I27" s="13" t="n">
        <v>0.1522</v>
      </c>
      <c r="J27" s="11" t="n">
        <v>1533.48</v>
      </c>
      <c r="K27" t="inlineStr">
        <is>
          <t>High</t>
        </is>
      </c>
      <c r="L27" t="inlineStr">
        <is>
          <t>Excess / Aged</t>
        </is>
      </c>
      <c r="M27" t="inlineStr">
        <is>
          <t>Transfer or Markdown</t>
        </is>
      </c>
      <c r="N27" t="inlineStr">
        <is>
          <t>Over max stock with extended age — evaluate transfer before markdown.</t>
        </is>
      </c>
    </row>
    <row r="28">
      <c r="A28" t="inlineStr">
        <is>
          <t>F-1105</t>
        </is>
      </c>
      <c r="B28" t="inlineStr">
        <is>
          <t>Synthetic Motor Oil 5W-30 5qt</t>
        </is>
      </c>
      <c r="C28" t="inlineStr">
        <is>
          <t>Store-WhitePlains</t>
        </is>
      </c>
      <c r="D28" s="10" t="n">
        <v>55</v>
      </c>
      <c r="E28" s="10" t="n">
        <v>54</v>
      </c>
      <c r="F28" s="10" t="n">
        <v>1</v>
      </c>
      <c r="G28" s="10" t="n">
        <v>329</v>
      </c>
      <c r="H28" s="10" t="n">
        <v>16</v>
      </c>
      <c r="I28" s="13" t="n">
        <v>0.2254</v>
      </c>
      <c r="J28" s="11" t="n">
        <v>1532.85</v>
      </c>
      <c r="K28" t="inlineStr">
        <is>
          <t>High</t>
        </is>
      </c>
      <c r="L28" t="inlineStr">
        <is>
          <t>Excess / Aged</t>
        </is>
      </c>
      <c r="M28" t="inlineStr">
        <is>
          <t>Transfer or Markdown</t>
        </is>
      </c>
      <c r="N28" t="inlineStr">
        <is>
          <t>Over max stock with extended age — evaluate transfer before markdown.</t>
        </is>
      </c>
    </row>
    <row r="29">
      <c r="A29" t="inlineStr">
        <is>
          <t>T-1056</t>
        </is>
      </c>
      <c r="B29" t="inlineStr">
        <is>
          <t>Mavis Sport Grip 245/40R18</t>
        </is>
      </c>
      <c r="C29" t="inlineStr">
        <is>
          <t>DC-NJ</t>
        </is>
      </c>
      <c r="D29" s="10" t="n">
        <v>12</v>
      </c>
      <c r="E29" s="10" t="n">
        <v>42</v>
      </c>
      <c r="F29" s="10" t="n">
        <v>0</v>
      </c>
      <c r="G29" s="10" t="n">
        <v>178</v>
      </c>
      <c r="H29" s="10" t="n">
        <v>21</v>
      </c>
      <c r="I29" s="13" t="n">
        <v>0.6364</v>
      </c>
      <c r="J29" s="11" t="n">
        <v>1474.2</v>
      </c>
      <c r="K29" t="inlineStr">
        <is>
          <t>High</t>
        </is>
      </c>
      <c r="L29" t="inlineStr">
        <is>
          <t>Stockout Risk</t>
        </is>
      </c>
      <c r="M29" t="inlineStr">
        <is>
          <t>Replenish</t>
        </is>
      </c>
      <c r="N29" t="inlineStr">
        <is>
          <t>Below minimum stock — prioritize replenishment to avoid lost sales.</t>
        </is>
      </c>
    </row>
    <row r="30">
      <c r="A30" t="inlineStr">
        <is>
          <t>T-1076</t>
        </is>
      </c>
      <c r="B30" t="inlineStr">
        <is>
          <t>OBD-II Code Reader Pro</t>
        </is>
      </c>
      <c r="C30" t="inlineStr">
        <is>
          <t>Store-Yonkers</t>
        </is>
      </c>
      <c r="D30" s="10" t="n">
        <v>11</v>
      </c>
      <c r="E30" s="10" t="n">
        <v>62</v>
      </c>
      <c r="F30" s="10" t="n">
        <v>0</v>
      </c>
      <c r="G30" s="10" t="n">
        <v>325</v>
      </c>
      <c r="H30" s="10" t="n">
        <v>29</v>
      </c>
      <c r="I30" s="13" t="n">
        <v>0.725</v>
      </c>
      <c r="J30" s="11" t="n">
        <v>1466.96</v>
      </c>
      <c r="K30" t="inlineStr">
        <is>
          <t>High</t>
        </is>
      </c>
      <c r="L30" t="inlineStr">
        <is>
          <t>Stockout Risk</t>
        </is>
      </c>
      <c r="M30" t="inlineStr">
        <is>
          <t>Replenish</t>
        </is>
      </c>
      <c r="N30" t="inlineStr">
        <is>
          <t>Below minimum stock — prioritize replenishment to avoid lost sales.</t>
        </is>
      </c>
    </row>
    <row r="31">
      <c r="A31" t="inlineStr">
        <is>
          <t>A-1031</t>
        </is>
      </c>
      <c r="B31" t="inlineStr">
        <is>
          <t>LED Headlight Bulb H11 Pair</t>
        </is>
      </c>
      <c r="C31" t="inlineStr">
        <is>
          <t>Store-Yonkers</t>
        </is>
      </c>
      <c r="D31" s="10" t="n">
        <v>39</v>
      </c>
      <c r="E31" s="10" t="n">
        <v>30</v>
      </c>
      <c r="F31" s="10" t="n">
        <v>9</v>
      </c>
      <c r="G31" s="10" t="n">
        <v>385</v>
      </c>
      <c r="H31" s="10" t="n">
        <v>34</v>
      </c>
      <c r="I31" s="13" t="n">
        <v>0.4658</v>
      </c>
      <c r="J31" s="11" t="n">
        <v>1450.8</v>
      </c>
      <c r="K31" t="inlineStr">
        <is>
          <t>High</t>
        </is>
      </c>
      <c r="L31" t="inlineStr">
        <is>
          <t>Excess / Aged</t>
        </is>
      </c>
      <c r="M31" t="inlineStr">
        <is>
          <t>Transfer or Markdown</t>
        </is>
      </c>
      <c r="N31" t="inlineStr">
        <is>
          <t>Over max stock with extended age — evaluate transfer before markdown.</t>
        </is>
      </c>
    </row>
    <row r="32">
      <c r="A32" t="inlineStr">
        <is>
          <t>A-1042</t>
        </is>
      </c>
      <c r="B32" t="inlineStr">
        <is>
          <t>LED Headlight Bulb H11 Pair</t>
        </is>
      </c>
      <c r="C32" t="inlineStr">
        <is>
          <t>Store-Stamford</t>
        </is>
      </c>
      <c r="D32" s="10" t="n">
        <v>38</v>
      </c>
      <c r="E32" s="10" t="n">
        <v>29</v>
      </c>
      <c r="F32" s="10" t="n">
        <v>9</v>
      </c>
      <c r="G32" s="10" t="n">
        <v>235</v>
      </c>
      <c r="H32" s="10" t="n">
        <v>5</v>
      </c>
      <c r="I32" s="13" t="n">
        <v>0.1163</v>
      </c>
      <c r="J32" s="11" t="n">
        <v>1423.48</v>
      </c>
      <c r="K32" t="inlineStr">
        <is>
          <t>High</t>
        </is>
      </c>
      <c r="L32" t="inlineStr">
        <is>
          <t>Excess / Aged</t>
        </is>
      </c>
      <c r="M32" t="inlineStr">
        <is>
          <t>Transfer or Markdown</t>
        </is>
      </c>
      <c r="N32" t="inlineStr">
        <is>
          <t>Over max stock with extended age — evaluate transfer before markdown.</t>
        </is>
      </c>
    </row>
    <row r="33">
      <c r="A33" t="inlineStr">
        <is>
          <t>F-1088</t>
        </is>
      </c>
      <c r="B33" t="inlineStr">
        <is>
          <t>Extended Life Coolant 1gal</t>
        </is>
      </c>
      <c r="C33" t="inlineStr">
        <is>
          <t>Store-Newark</t>
        </is>
      </c>
      <c r="D33" s="10" t="n">
        <v>73</v>
      </c>
      <c r="E33" s="10" t="n">
        <v>51</v>
      </c>
      <c r="F33" s="10" t="n">
        <v>22</v>
      </c>
      <c r="G33" s="10" t="n">
        <v>214</v>
      </c>
      <c r="H33" s="10" t="n">
        <v>25</v>
      </c>
      <c r="I33" s="13" t="n">
        <v>0.2551</v>
      </c>
      <c r="J33" s="11" t="n">
        <v>1390.65</v>
      </c>
      <c r="K33" t="inlineStr">
        <is>
          <t>High</t>
        </is>
      </c>
      <c r="L33" t="inlineStr">
        <is>
          <t>Excess / Aged</t>
        </is>
      </c>
      <c r="M33" t="inlineStr">
        <is>
          <t>Transfer or Markdown</t>
        </is>
      </c>
      <c r="N33" t="inlineStr">
        <is>
          <t>Over max stock with extended age — evaluate transfer before markdown.</t>
        </is>
      </c>
    </row>
    <row r="34">
      <c r="A34" t="inlineStr">
        <is>
          <t>SS-1013</t>
        </is>
      </c>
      <c r="B34" t="inlineStr">
        <is>
          <t>Nitrile Gloves Box/100</t>
        </is>
      </c>
      <c r="C34" t="inlineStr">
        <is>
          <t>DC-NY</t>
        </is>
      </c>
      <c r="D34" s="10" t="n">
        <v>71</v>
      </c>
      <c r="E34" s="10" t="n">
        <v>56</v>
      </c>
      <c r="F34" s="10" t="n">
        <v>15</v>
      </c>
      <c r="G34" s="10" t="n">
        <v>280</v>
      </c>
      <c r="H34" s="10" t="n">
        <v>16</v>
      </c>
      <c r="I34" s="13" t="n">
        <v>0.1839</v>
      </c>
      <c r="J34" s="11" t="n">
        <v>1368.88</v>
      </c>
      <c r="K34" t="inlineStr">
        <is>
          <t>High</t>
        </is>
      </c>
      <c r="L34" t="inlineStr">
        <is>
          <t>Excess / Aged</t>
        </is>
      </c>
      <c r="M34" t="inlineStr">
        <is>
          <t>Transfer or Markdown</t>
        </is>
      </c>
      <c r="N34" t="inlineStr">
        <is>
          <t>Over max stock with extended age — evaluate transfer before markdown.</t>
        </is>
      </c>
    </row>
    <row r="35">
      <c r="A35" t="inlineStr">
        <is>
          <t>T-1041</t>
        </is>
      </c>
      <c r="B35" t="inlineStr">
        <is>
          <t>Mavis SnowTrack 205/55R16</t>
        </is>
      </c>
      <c r="C35" t="inlineStr">
        <is>
          <t>Store-Queens</t>
        </is>
      </c>
      <c r="D35" s="10" t="n">
        <v>10</v>
      </c>
      <c r="E35" s="10" t="n">
        <v>44</v>
      </c>
      <c r="F35" s="10" t="n">
        <v>0</v>
      </c>
      <c r="G35" s="10" t="n">
        <v>207</v>
      </c>
      <c r="H35" s="10" t="n">
        <v>17</v>
      </c>
      <c r="I35" s="13" t="n">
        <v>0.6296</v>
      </c>
      <c r="J35" s="11" t="n">
        <v>1032.5</v>
      </c>
      <c r="K35" t="inlineStr">
        <is>
          <t>High</t>
        </is>
      </c>
      <c r="L35" t="inlineStr">
        <is>
          <t>Stockout Risk</t>
        </is>
      </c>
      <c r="M35" t="inlineStr">
        <is>
          <t>Replenish</t>
        </is>
      </c>
      <c r="N35" t="inlineStr">
        <is>
          <t>Below minimum stock — prioritize replenishment to avoid lost sales.</t>
        </is>
      </c>
    </row>
    <row r="36">
      <c r="A36" t="inlineStr">
        <is>
          <t>T-1070</t>
        </is>
      </c>
      <c r="B36" t="inlineStr">
        <is>
          <t>Mavis Sport Grip 245/40R18</t>
        </is>
      </c>
      <c r="C36" t="inlineStr">
        <is>
          <t>Store-WhitePlains</t>
        </is>
      </c>
      <c r="D36" s="10" t="n">
        <v>6</v>
      </c>
      <c r="E36" s="10" t="n">
        <v>30</v>
      </c>
      <c r="F36" s="10" t="n">
        <v>0</v>
      </c>
      <c r="G36" s="10" t="n">
        <v>193</v>
      </c>
      <c r="H36" s="10" t="n">
        <v>25</v>
      </c>
      <c r="I36" s="13" t="n">
        <v>0.8065</v>
      </c>
      <c r="J36" s="11" t="n">
        <v>731.7</v>
      </c>
      <c r="K36" t="inlineStr">
        <is>
          <t>High</t>
        </is>
      </c>
      <c r="L36" t="inlineStr">
        <is>
          <t>Stockout Risk</t>
        </is>
      </c>
      <c r="M36" t="inlineStr">
        <is>
          <t>Replenish</t>
        </is>
      </c>
      <c r="N36" t="inlineStr">
        <is>
          <t>Below minimum stock — prioritize replenishment to avoid lost sales.</t>
        </is>
      </c>
    </row>
    <row r="37">
      <c r="A37" t="inlineStr">
        <is>
          <t>F-1077</t>
        </is>
      </c>
      <c r="B37" t="inlineStr">
        <is>
          <t>Cabin Air Filter CF-1180</t>
        </is>
      </c>
      <c r="C37" t="inlineStr">
        <is>
          <t>DC-PA</t>
        </is>
      </c>
      <c r="D37" s="10" t="n">
        <v>43</v>
      </c>
      <c r="E37" s="10" t="n">
        <v>27</v>
      </c>
      <c r="F37" s="10" t="n">
        <v>16</v>
      </c>
      <c r="G37" s="10" t="n">
        <v>214</v>
      </c>
      <c r="H37" s="10" t="n">
        <v>18</v>
      </c>
      <c r="I37" s="13" t="n">
        <v>0.2951</v>
      </c>
      <c r="J37" s="11" t="n">
        <v>718.53</v>
      </c>
      <c r="K37" t="inlineStr">
        <is>
          <t>High</t>
        </is>
      </c>
      <c r="L37" t="inlineStr">
        <is>
          <t>Excess / Aged</t>
        </is>
      </c>
      <c r="M37" t="inlineStr">
        <is>
          <t>Transfer or Markdown</t>
        </is>
      </c>
      <c r="N37" t="inlineStr">
        <is>
          <t>Over max stock with extended age — evaluate transfer before markdown.</t>
        </is>
      </c>
    </row>
    <row r="38">
      <c r="A38" t="inlineStr">
        <is>
          <t>F-1033</t>
        </is>
      </c>
      <c r="B38" t="inlineStr">
        <is>
          <t>ATF+4 Transmission Fluid 1qt</t>
        </is>
      </c>
      <c r="C38" t="inlineStr">
        <is>
          <t>Store-Brooklyn</t>
        </is>
      </c>
      <c r="D38" s="10" t="n">
        <v>75</v>
      </c>
      <c r="E38" s="10" t="n">
        <v>41</v>
      </c>
      <c r="F38" s="10" t="n">
        <v>34</v>
      </c>
      <c r="G38" s="10" t="n">
        <v>393</v>
      </c>
      <c r="H38" s="10" t="n">
        <v>6</v>
      </c>
      <c r="I38" s="13" t="n">
        <v>0.0741</v>
      </c>
      <c r="J38" s="11" t="n">
        <v>701.25</v>
      </c>
      <c r="K38" t="inlineStr">
        <is>
          <t>High</t>
        </is>
      </c>
      <c r="L38" t="inlineStr">
        <is>
          <t>Excess / Aged</t>
        </is>
      </c>
      <c r="M38" t="inlineStr">
        <is>
          <t>Transfer or Markdown</t>
        </is>
      </c>
      <c r="N38" t="inlineStr">
        <is>
          <t>Over max stock with extended age — evaluate transfer before markdown.</t>
        </is>
      </c>
    </row>
    <row r="39">
      <c r="A39" t="inlineStr">
        <is>
          <t>BP-1112</t>
        </is>
      </c>
      <c r="B39" t="inlineStr">
        <is>
          <t>Brake Hardware Kit</t>
        </is>
      </c>
      <c r="C39" t="inlineStr">
        <is>
          <t>Store-Newark</t>
        </is>
      </c>
      <c r="D39" s="10" t="n">
        <v>59</v>
      </c>
      <c r="E39" s="10" t="n">
        <v>28</v>
      </c>
      <c r="F39" s="10" t="n">
        <v>31</v>
      </c>
      <c r="G39" s="10" t="n">
        <v>218</v>
      </c>
      <c r="H39" s="10" t="n">
        <v>9</v>
      </c>
      <c r="I39" s="13" t="n">
        <v>0.1324</v>
      </c>
      <c r="J39" s="11" t="n">
        <v>697.38</v>
      </c>
      <c r="K39" t="inlineStr">
        <is>
          <t>High</t>
        </is>
      </c>
      <c r="L39" t="inlineStr">
        <is>
          <t>Excess / Aged</t>
        </is>
      </c>
      <c r="M39" t="inlineStr">
        <is>
          <t>Transfer or Markdown</t>
        </is>
      </c>
      <c r="N39" t="inlineStr">
        <is>
          <t>Over max stock with extended age — evaluate transfer before markdown.</t>
        </is>
      </c>
    </row>
    <row r="40">
      <c r="A40" t="inlineStr">
        <is>
          <t>T-1079</t>
        </is>
      </c>
      <c r="B40" t="inlineStr">
        <is>
          <t>Hydraulic Floor Jack 3-Ton</t>
        </is>
      </c>
      <c r="C40" t="inlineStr">
        <is>
          <t>Store-Manhattan</t>
        </is>
      </c>
      <c r="D40" s="10" t="n">
        <v>4</v>
      </c>
      <c r="E40" s="10" t="n">
        <v>30</v>
      </c>
      <c r="F40" s="10" t="n">
        <v>0</v>
      </c>
      <c r="G40" s="10" t="n">
        <v>260</v>
      </c>
      <c r="H40" s="10" t="n">
        <v>0</v>
      </c>
      <c r="I40" s="13" t="n">
        <v>0</v>
      </c>
      <c r="J40" s="11" t="n">
        <v>685.36</v>
      </c>
      <c r="K40" t="inlineStr">
        <is>
          <t>High</t>
        </is>
      </c>
      <c r="L40" t="inlineStr">
        <is>
          <t>Stockout Risk</t>
        </is>
      </c>
      <c r="M40" t="inlineStr">
        <is>
          <t>Replenish</t>
        </is>
      </c>
      <c r="N40" t="inlineStr">
        <is>
          <t>Below minimum stock — prioritize replenishment to avoid lost sales.</t>
        </is>
      </c>
    </row>
    <row r="41">
      <c r="A41" t="inlineStr">
        <is>
          <t>F-1009</t>
        </is>
      </c>
      <c r="B41" t="inlineStr">
        <is>
          <t>Inline Fuel Filter FF-330</t>
        </is>
      </c>
      <c r="C41" t="inlineStr">
        <is>
          <t>DC-NY</t>
        </is>
      </c>
      <c r="D41" s="10" t="n">
        <v>51</v>
      </c>
      <c r="E41" s="10" t="n">
        <v>34</v>
      </c>
      <c r="F41" s="10" t="n">
        <v>17</v>
      </c>
      <c r="G41" s="10" t="n">
        <v>288</v>
      </c>
      <c r="H41" s="10" t="n">
        <v>32</v>
      </c>
      <c r="I41" s="13" t="n">
        <v>0.3855</v>
      </c>
      <c r="J41" s="11" t="n">
        <v>635.46</v>
      </c>
      <c r="K41" t="inlineStr">
        <is>
          <t>High</t>
        </is>
      </c>
      <c r="L41" t="inlineStr">
        <is>
          <t>Excess / Aged</t>
        </is>
      </c>
      <c r="M41" t="inlineStr">
        <is>
          <t>Transfer or Markdown</t>
        </is>
      </c>
      <c r="N41" t="inlineStr">
        <is>
          <t>Over max stock with extended age — evaluate transfer before markdown.</t>
        </is>
      </c>
    </row>
    <row r="42">
      <c r="A42" t="inlineStr">
        <is>
          <t>F-1099</t>
        </is>
      </c>
      <c r="B42" t="inlineStr">
        <is>
          <t>ATF+4 Transmission Fluid 1qt</t>
        </is>
      </c>
      <c r="C42" t="inlineStr">
        <is>
          <t>DC-NY</t>
        </is>
      </c>
      <c r="D42" s="10" t="n">
        <v>57</v>
      </c>
      <c r="E42" s="10" t="n">
        <v>42</v>
      </c>
      <c r="F42" s="10" t="n">
        <v>15</v>
      </c>
      <c r="G42" s="10" t="n">
        <v>228</v>
      </c>
      <c r="H42" s="10" t="n">
        <v>30</v>
      </c>
      <c r="I42" s="13" t="n">
        <v>0.3448</v>
      </c>
      <c r="J42" s="11" t="n">
        <v>577.98</v>
      </c>
      <c r="K42" t="inlineStr">
        <is>
          <t>High</t>
        </is>
      </c>
      <c r="L42" t="inlineStr">
        <is>
          <t>Excess / Aged</t>
        </is>
      </c>
      <c r="M42" t="inlineStr">
        <is>
          <t>Transfer or Markdown</t>
        </is>
      </c>
      <c r="N42" t="inlineStr">
        <is>
          <t>Over max stock with extended age — evaluate transfer before markdown.</t>
        </is>
      </c>
    </row>
    <row r="43">
      <c r="A43" t="inlineStr">
        <is>
          <t>F-1101</t>
        </is>
      </c>
      <c r="B43" t="inlineStr">
        <is>
          <t>Premium Oil Filter PF-2234</t>
        </is>
      </c>
      <c r="C43" t="inlineStr">
        <is>
          <t>Store-Bronx</t>
        </is>
      </c>
      <c r="D43" s="10" t="n">
        <v>66</v>
      </c>
      <c r="E43" s="10" t="n">
        <v>44</v>
      </c>
      <c r="F43" s="10" t="n">
        <v>22</v>
      </c>
      <c r="G43" s="10" t="n">
        <v>225</v>
      </c>
      <c r="H43" s="10" t="n">
        <v>18</v>
      </c>
      <c r="I43" s="13" t="n">
        <v>0.2143</v>
      </c>
      <c r="J43" s="11" t="n">
        <v>571.5599999999999</v>
      </c>
      <c r="K43" t="inlineStr">
        <is>
          <t>High</t>
        </is>
      </c>
      <c r="L43" t="inlineStr">
        <is>
          <t>Excess / Aged</t>
        </is>
      </c>
      <c r="M43" t="inlineStr">
        <is>
          <t>Transfer or Markdown</t>
        </is>
      </c>
      <c r="N43" t="inlineStr">
        <is>
          <t>Over max stock with extended age — evaluate transfer before markdown.</t>
        </is>
      </c>
    </row>
    <row r="44">
      <c r="A44" t="inlineStr">
        <is>
          <t>A-1062</t>
        </is>
      </c>
      <c r="B44" t="inlineStr">
        <is>
          <t>All-Weather Floor Mat Set</t>
        </is>
      </c>
      <c r="C44" t="inlineStr">
        <is>
          <t>Store-Yonkers</t>
        </is>
      </c>
      <c r="D44" s="10" t="n">
        <v>8</v>
      </c>
      <c r="E44" s="10" t="n">
        <v>63</v>
      </c>
      <c r="F44" s="10" t="n">
        <v>0</v>
      </c>
      <c r="G44" s="10" t="n">
        <v>110</v>
      </c>
      <c r="H44" s="10" t="n">
        <v>25</v>
      </c>
      <c r="I44" s="13" t="n">
        <v>0.7576000000000001</v>
      </c>
      <c r="J44" s="11" t="n">
        <v>383.76</v>
      </c>
      <c r="K44" t="inlineStr">
        <is>
          <t>High</t>
        </is>
      </c>
      <c r="L44" t="inlineStr">
        <is>
          <t>Stockout Risk</t>
        </is>
      </c>
      <c r="M44" t="inlineStr">
        <is>
          <t>Replenish</t>
        </is>
      </c>
      <c r="N44" t="inlineStr">
        <is>
          <t>Below minimum stock — prioritize replenishment to avoid lost sales.</t>
        </is>
      </c>
    </row>
    <row r="45">
      <c r="A45" t="inlineStr">
        <is>
          <t>T-1001</t>
        </is>
      </c>
      <c r="B45" t="inlineStr">
        <is>
          <t>Mavis Sport Grip 245/40R18</t>
        </is>
      </c>
      <c r="C45" t="inlineStr">
        <is>
          <t>DC-NJ</t>
        </is>
      </c>
      <c r="D45" s="10" t="n">
        <v>3</v>
      </c>
      <c r="E45" s="10" t="n">
        <v>48</v>
      </c>
      <c r="F45" s="10" t="n">
        <v>0</v>
      </c>
      <c r="G45" s="10" t="n">
        <v>25</v>
      </c>
      <c r="H45" s="10" t="n">
        <v>18</v>
      </c>
      <c r="I45" s="13" t="n">
        <v>0.8571</v>
      </c>
      <c r="J45" s="11" t="n">
        <v>383.73</v>
      </c>
      <c r="K45" t="inlineStr">
        <is>
          <t>High</t>
        </is>
      </c>
      <c r="L45" t="inlineStr">
        <is>
          <t>Stockout Risk</t>
        </is>
      </c>
      <c r="M45" t="inlineStr">
        <is>
          <t>Replenish</t>
        </is>
      </c>
      <c r="N45" t="inlineStr">
        <is>
          <t>Below minimum stock — prioritize replenishment to avoid lost sales.</t>
        </is>
      </c>
    </row>
    <row r="46">
      <c r="A46" t="inlineStr">
        <is>
          <t>A-1034</t>
        </is>
      </c>
      <c r="B46" t="inlineStr">
        <is>
          <t>All-Weather Floor Mat Set</t>
        </is>
      </c>
      <c r="C46" t="inlineStr">
        <is>
          <t>Store-Stamford</t>
        </is>
      </c>
      <c r="D46" s="10" t="n">
        <v>7</v>
      </c>
      <c r="E46" s="10" t="n">
        <v>50</v>
      </c>
      <c r="F46" s="10" t="n">
        <v>0</v>
      </c>
      <c r="G46" s="10" t="n">
        <v>315</v>
      </c>
      <c r="H46" s="10" t="n">
        <v>29</v>
      </c>
      <c r="I46" s="13" t="n">
        <v>0.8056</v>
      </c>
      <c r="J46" s="11" t="n">
        <v>363.72</v>
      </c>
      <c r="K46" t="inlineStr">
        <is>
          <t>High</t>
        </is>
      </c>
      <c r="L46" t="inlineStr">
        <is>
          <t>Stockout Risk</t>
        </is>
      </c>
      <c r="M46" t="inlineStr">
        <is>
          <t>Replenish</t>
        </is>
      </c>
      <c r="N46" t="inlineStr">
        <is>
          <t>Below minimum stock — prioritize replenishment to avoid lost sales.</t>
        </is>
      </c>
    </row>
    <row r="47">
      <c r="A47" t="inlineStr">
        <is>
          <t>F-1092</t>
        </is>
      </c>
      <c r="B47" t="inlineStr">
        <is>
          <t>Synthetic Motor Oil 5W-30 5qt</t>
        </is>
      </c>
      <c r="C47" t="inlineStr">
        <is>
          <t>Store-Queens</t>
        </is>
      </c>
      <c r="D47" s="10" t="n">
        <v>7</v>
      </c>
      <c r="E47" s="10" t="n">
        <v>57</v>
      </c>
      <c r="F47" s="10" t="n">
        <v>0</v>
      </c>
      <c r="G47" s="10" t="n">
        <v>418</v>
      </c>
      <c r="H47" s="10" t="n">
        <v>15</v>
      </c>
      <c r="I47" s="13" t="n">
        <v>0.6818</v>
      </c>
      <c r="J47" s="11" t="n">
        <v>199.08</v>
      </c>
      <c r="K47" t="inlineStr">
        <is>
          <t>High</t>
        </is>
      </c>
      <c r="L47" t="inlineStr">
        <is>
          <t>Stockout Risk</t>
        </is>
      </c>
      <c r="M47" t="inlineStr">
        <is>
          <t>Replenish</t>
        </is>
      </c>
      <c r="N47" t="inlineStr">
        <is>
          <t>Below minimum stock — prioritize replenishment to avoid lost sales.</t>
        </is>
      </c>
    </row>
    <row r="48">
      <c r="A48" t="inlineStr">
        <is>
          <t>F-1059</t>
        </is>
      </c>
      <c r="B48" t="inlineStr">
        <is>
          <t>Extended Life Coolant 1gal</t>
        </is>
      </c>
      <c r="C48" t="inlineStr">
        <is>
          <t>Store-Brooklyn</t>
        </is>
      </c>
      <c r="D48" s="10" t="n">
        <v>6</v>
      </c>
      <c r="E48" s="10" t="n">
        <v>50</v>
      </c>
      <c r="F48" s="10" t="n">
        <v>0</v>
      </c>
      <c r="G48" s="10" t="n">
        <v>124</v>
      </c>
      <c r="H48" s="10" t="n">
        <v>6</v>
      </c>
      <c r="I48" s="13" t="n">
        <v>0.5</v>
      </c>
      <c r="J48" s="11" t="n">
        <v>107.7</v>
      </c>
      <c r="K48" t="inlineStr">
        <is>
          <t>High</t>
        </is>
      </c>
      <c r="L48" t="inlineStr">
        <is>
          <t>Stockout Risk</t>
        </is>
      </c>
      <c r="M48" t="inlineStr">
        <is>
          <t>Replenish</t>
        </is>
      </c>
      <c r="N48" t="inlineStr">
        <is>
          <t>Below minimum stock — prioritize replenishment to avoid lost sales.</t>
        </is>
      </c>
    </row>
    <row r="49">
      <c r="A49" t="inlineStr">
        <is>
          <t>F-1089</t>
        </is>
      </c>
      <c r="B49" t="inlineStr">
        <is>
          <t>Synthetic Motor Oil 5W-30 5qt</t>
        </is>
      </c>
      <c r="C49" t="inlineStr">
        <is>
          <t>Store-Newark</t>
        </is>
      </c>
      <c r="D49" s="10" t="n">
        <v>3</v>
      </c>
      <c r="E49" s="10" t="n">
        <v>41</v>
      </c>
      <c r="F49" s="10" t="n">
        <v>0</v>
      </c>
      <c r="G49" s="10" t="n">
        <v>53</v>
      </c>
      <c r="H49" s="10" t="n">
        <v>1</v>
      </c>
      <c r="I49" s="13" t="n">
        <v>0.25</v>
      </c>
      <c r="J49" s="11" t="n">
        <v>89.94</v>
      </c>
      <c r="K49" t="inlineStr">
        <is>
          <t>High</t>
        </is>
      </c>
      <c r="L49" t="inlineStr">
        <is>
          <t>Stockout Risk</t>
        </is>
      </c>
      <c r="M49" t="inlineStr">
        <is>
          <t>Replenish</t>
        </is>
      </c>
      <c r="N49" t="inlineStr">
        <is>
          <t>Below minimum stock — prioritize replenishment to avoid lost sales.</t>
        </is>
      </c>
    </row>
    <row r="50">
      <c r="A50" t="inlineStr">
        <is>
          <t>F-1011</t>
        </is>
      </c>
      <c r="B50" t="inlineStr">
        <is>
          <t>DOT 4 Brake Fluid 12oz</t>
        </is>
      </c>
      <c r="C50" t="inlineStr">
        <is>
          <t>Store-WhitePlains</t>
        </is>
      </c>
      <c r="D50" s="10" t="n">
        <v>13</v>
      </c>
      <c r="E50" s="10" t="n">
        <v>48</v>
      </c>
      <c r="F50" s="10" t="n">
        <v>0</v>
      </c>
      <c r="G50" s="10" t="n">
        <v>350</v>
      </c>
      <c r="H50" s="10" t="n">
        <v>22</v>
      </c>
      <c r="I50" s="13" t="n">
        <v>0.6286</v>
      </c>
      <c r="J50" s="11" t="n">
        <v>79.69</v>
      </c>
      <c r="K50" t="inlineStr">
        <is>
          <t>High</t>
        </is>
      </c>
      <c r="L50" t="inlineStr">
        <is>
          <t>Stockout Risk</t>
        </is>
      </c>
      <c r="M50" t="inlineStr">
        <is>
          <t>Replenish</t>
        </is>
      </c>
      <c r="N50" t="inlineStr">
        <is>
          <t>Below minimum stock — prioritize replenishment to avoid lost sales.</t>
        </is>
      </c>
    </row>
    <row r="51">
      <c r="A51" t="inlineStr">
        <is>
          <t>F-1078</t>
        </is>
      </c>
      <c r="B51" t="inlineStr">
        <is>
          <t>Cabin Air Filter CF-1180</t>
        </is>
      </c>
      <c r="C51" t="inlineStr">
        <is>
          <t>DC-NJ</t>
        </is>
      </c>
      <c r="D51" s="10" t="n">
        <v>4</v>
      </c>
      <c r="E51" s="10" t="n">
        <v>55</v>
      </c>
      <c r="F51" s="10" t="n">
        <v>0</v>
      </c>
      <c r="G51" s="10" t="n">
        <v>85</v>
      </c>
      <c r="H51" s="10" t="n">
        <v>0</v>
      </c>
      <c r="I51" s="13" t="n">
        <v>0</v>
      </c>
      <c r="J51" s="11" t="n">
        <v>67.40000000000001</v>
      </c>
      <c r="K51" t="inlineStr">
        <is>
          <t>High</t>
        </is>
      </c>
      <c r="L51" t="inlineStr">
        <is>
          <t>Stockout Risk</t>
        </is>
      </c>
      <c r="M51" t="inlineStr">
        <is>
          <t>Replenish</t>
        </is>
      </c>
      <c r="N51" t="inlineStr">
        <is>
          <t>Below minimum stock — prioritize replenishment to avoid lost sales.</t>
        </is>
      </c>
    </row>
    <row r="52">
      <c r="A52" t="inlineStr">
        <is>
          <t>SS-1025</t>
        </is>
      </c>
      <c r="B52" t="inlineStr">
        <is>
          <t>Brake Cleaner 19oz</t>
        </is>
      </c>
      <c r="C52" t="inlineStr">
        <is>
          <t>Store-Queens</t>
        </is>
      </c>
      <c r="D52" s="10" t="n">
        <v>12</v>
      </c>
      <c r="E52" s="10" t="n">
        <v>34</v>
      </c>
      <c r="F52" s="10" t="n">
        <v>0</v>
      </c>
      <c r="G52" s="10" t="n">
        <v>210</v>
      </c>
      <c r="H52" s="10" t="n">
        <v>6</v>
      </c>
      <c r="I52" s="13" t="n">
        <v>0.3333</v>
      </c>
      <c r="J52" s="11" t="n">
        <v>63.6</v>
      </c>
      <c r="K52" t="inlineStr">
        <is>
          <t>High</t>
        </is>
      </c>
      <c r="L52" t="inlineStr">
        <is>
          <t>Stockout Risk</t>
        </is>
      </c>
      <c r="M52" t="inlineStr">
        <is>
          <t>Replenish</t>
        </is>
      </c>
      <c r="N52" t="inlineStr">
        <is>
          <t>Below minimum stock — prioritize replenishment to avoid lost sales.</t>
        </is>
      </c>
    </row>
    <row r="53">
      <c r="A53" t="inlineStr">
        <is>
          <t>SS-1040</t>
        </is>
      </c>
      <c r="B53" t="inlineStr">
        <is>
          <t>Multi-Purpose Grease 14oz</t>
        </is>
      </c>
      <c r="C53" t="inlineStr">
        <is>
          <t>Store-Yonkers</t>
        </is>
      </c>
      <c r="D53" s="10" t="n">
        <v>6</v>
      </c>
      <c r="E53" s="10" t="n">
        <v>44</v>
      </c>
      <c r="F53" s="10" t="n">
        <v>0</v>
      </c>
      <c r="G53" s="10" t="n">
        <v>311</v>
      </c>
      <c r="H53" s="10" t="n">
        <v>28</v>
      </c>
      <c r="I53" s="13" t="n">
        <v>0.8235</v>
      </c>
      <c r="J53" s="11" t="n">
        <v>45.6</v>
      </c>
      <c r="K53" t="inlineStr">
        <is>
          <t>High</t>
        </is>
      </c>
      <c r="L53" t="inlineStr">
        <is>
          <t>Stockout Risk</t>
        </is>
      </c>
      <c r="M53" t="inlineStr">
        <is>
          <t>Replenish</t>
        </is>
      </c>
      <c r="N53" t="inlineStr">
        <is>
          <t>Below minimum stock — prioritize replenishment to avoid lost sales.</t>
        </is>
      </c>
    </row>
    <row r="54">
      <c r="A54" t="inlineStr">
        <is>
          <t>SS-1116</t>
        </is>
      </c>
      <c r="B54" t="inlineStr">
        <is>
          <t>Brake Cleaner 19oz</t>
        </is>
      </c>
      <c r="C54" t="inlineStr">
        <is>
          <t>Store-Queens</t>
        </is>
      </c>
      <c r="D54" s="10" t="n">
        <v>8</v>
      </c>
      <c r="E54" s="10" t="n">
        <v>33</v>
      </c>
      <c r="F54" s="10" t="n">
        <v>0</v>
      </c>
      <c r="G54" s="10" t="n">
        <v>243</v>
      </c>
      <c r="H54" s="10" t="n">
        <v>6</v>
      </c>
      <c r="I54" s="13" t="n">
        <v>0.4286</v>
      </c>
      <c r="J54" s="11" t="n">
        <v>44.88</v>
      </c>
      <c r="K54" t="inlineStr">
        <is>
          <t>High</t>
        </is>
      </c>
      <c r="L54" t="inlineStr">
        <is>
          <t>Stockout Risk</t>
        </is>
      </c>
      <c r="M54" t="inlineStr">
        <is>
          <t>Replenish</t>
        </is>
      </c>
      <c r="N54" t="inlineStr">
        <is>
          <t>Below minimum stock — prioritize replenishment to avoid lost sales.</t>
        </is>
      </c>
    </row>
    <row r="55">
      <c r="A55" t="inlineStr">
        <is>
          <t>SS-1074</t>
        </is>
      </c>
      <c r="B55" t="inlineStr">
        <is>
          <t>Multi-Purpose Grease 14oz</t>
        </is>
      </c>
      <c r="C55" t="inlineStr">
        <is>
          <t>Store-Yonkers</t>
        </is>
      </c>
      <c r="D55" s="10" t="n">
        <v>1</v>
      </c>
      <c r="E55" s="10" t="n">
        <v>38</v>
      </c>
      <c r="F55" s="10" t="n">
        <v>0</v>
      </c>
      <c r="G55" s="10" t="n">
        <v>382</v>
      </c>
      <c r="H55" s="10" t="n">
        <v>10</v>
      </c>
      <c r="I55" s="13" t="n">
        <v>0.9091</v>
      </c>
      <c r="J55" s="11" t="n">
        <v>7.53</v>
      </c>
      <c r="K55" t="inlineStr">
        <is>
          <t>High</t>
        </is>
      </c>
      <c r="L55" t="inlineStr">
        <is>
          <t>Stockout Risk</t>
        </is>
      </c>
      <c r="M55" t="inlineStr">
        <is>
          <t>Replenish</t>
        </is>
      </c>
      <c r="N55" t="inlineStr">
        <is>
          <t>Below minimum stock — prioritize replenishment to avoid lost sales.</t>
        </is>
      </c>
    </row>
    <row r="56">
      <c r="A56" t="inlineStr">
        <is>
          <t>A-1052</t>
        </is>
      </c>
      <c r="B56" t="inlineStr">
        <is>
          <t>LED Headlight Bulb H11 Pair</t>
        </is>
      </c>
      <c r="C56" t="inlineStr">
        <is>
          <t>Store-Queens</t>
        </is>
      </c>
      <c r="D56" s="10" t="n">
        <v>0</v>
      </c>
      <c r="E56" s="10" t="n">
        <v>27</v>
      </c>
      <c r="F56" s="10" t="n">
        <v>0</v>
      </c>
      <c r="G56" s="10" t="n">
        <v>160</v>
      </c>
      <c r="H56" s="10" t="n">
        <v>32</v>
      </c>
      <c r="I56" s="13" t="n">
        <v>1</v>
      </c>
      <c r="J56" s="11" t="n">
        <v>0</v>
      </c>
      <c r="K56" t="inlineStr">
        <is>
          <t>High</t>
        </is>
      </c>
      <c r="L56" t="inlineStr">
        <is>
          <t>Stockout Risk</t>
        </is>
      </c>
      <c r="M56" t="inlineStr">
        <is>
          <t>Replenish</t>
        </is>
      </c>
      <c r="N56" t="inlineStr">
        <is>
          <t>Below minimum stock — prioritize replenishment to avoid lost sales.</t>
        </is>
      </c>
    </row>
    <row r="57">
      <c r="A57" t="inlineStr">
        <is>
          <t>BP-1063</t>
        </is>
      </c>
      <c r="B57" t="inlineStr">
        <is>
          <t>Vented Brake Rotor 11.8in</t>
        </is>
      </c>
      <c r="C57" t="inlineStr">
        <is>
          <t>DC-NJ</t>
        </is>
      </c>
      <c r="D57" s="10" t="n">
        <v>0</v>
      </c>
      <c r="E57" s="10" t="n">
        <v>40</v>
      </c>
      <c r="F57" s="10" t="n">
        <v>0</v>
      </c>
      <c r="G57" s="10" t="n">
        <v>242</v>
      </c>
      <c r="H57" s="10" t="n">
        <v>16</v>
      </c>
      <c r="I57" s="13" t="n">
        <v>1</v>
      </c>
      <c r="J57" s="11" t="n">
        <v>0</v>
      </c>
      <c r="K57" t="inlineStr">
        <is>
          <t>High</t>
        </is>
      </c>
      <c r="L57" t="inlineStr">
        <is>
          <t>Stockout Risk</t>
        </is>
      </c>
      <c r="M57" t="inlineStr">
        <is>
          <t>Replenish</t>
        </is>
      </c>
      <c r="N57" t="inlineStr">
        <is>
          <t>Below minimum stock — prioritize replenishment to avoid lost sales.</t>
        </is>
      </c>
    </row>
    <row r="58">
      <c r="A58" t="inlineStr">
        <is>
          <t>T-1102</t>
        </is>
      </c>
      <c r="B58" t="inlineStr">
        <is>
          <t>3/8in Drive Socket Set 40pc</t>
        </is>
      </c>
      <c r="C58" t="inlineStr">
        <is>
          <t>Store-Manhattan</t>
        </is>
      </c>
      <c r="D58" s="10" t="n">
        <v>0</v>
      </c>
      <c r="E58" s="10" t="n">
        <v>33</v>
      </c>
      <c r="F58" s="10" t="n">
        <v>0</v>
      </c>
      <c r="G58" s="10" t="n">
        <v>145</v>
      </c>
      <c r="H58" s="10" t="n">
        <v>11</v>
      </c>
      <c r="I58" s="13" t="n">
        <v>1</v>
      </c>
      <c r="J58" s="11" t="n">
        <v>0</v>
      </c>
      <c r="K58" t="inlineStr">
        <is>
          <t>High</t>
        </is>
      </c>
      <c r="L58" t="inlineStr">
        <is>
          <t>Stockout Risk</t>
        </is>
      </c>
      <c r="M58" t="inlineStr">
        <is>
          <t>Replenish</t>
        </is>
      </c>
      <c r="N58" t="inlineStr">
        <is>
          <t>Below minimum stock — prioritize replenishment to avoid lost sales.</t>
        </is>
      </c>
    </row>
    <row r="59">
      <c r="A59" t="inlineStr">
        <is>
          <t>T-1065</t>
        </is>
      </c>
      <c r="B59" t="inlineStr">
        <is>
          <t>Hydraulic Floor Jack 3-Ton</t>
        </is>
      </c>
      <c r="C59" t="inlineStr">
        <is>
          <t>DC-NY</t>
        </is>
      </c>
      <c r="D59" s="10" t="n">
        <v>60</v>
      </c>
      <c r="E59" s="10" t="n">
        <v>48</v>
      </c>
      <c r="F59" s="10" t="n">
        <v>12</v>
      </c>
      <c r="G59" s="10" t="n">
        <v>178</v>
      </c>
      <c r="H59" s="10" t="n">
        <v>32</v>
      </c>
      <c r="I59" s="13" t="n">
        <v>0.3478</v>
      </c>
      <c r="J59" s="11" t="n">
        <v>10069.8</v>
      </c>
      <c r="K59" t="inlineStr">
        <is>
          <t>Medium</t>
        </is>
      </c>
      <c r="L59" t="inlineStr">
        <is>
          <t>Excess</t>
        </is>
      </c>
      <c r="M59" t="inlineStr">
        <is>
          <t>Review Transfer</t>
        </is>
      </c>
      <c r="N59" t="inlineStr">
        <is>
          <t>Quantity exceeds max stock — consider transfer to locations with shortages.</t>
        </is>
      </c>
    </row>
    <row r="60">
      <c r="A60" t="inlineStr">
        <is>
          <t>T-1066</t>
        </is>
      </c>
      <c r="B60" t="inlineStr">
        <is>
          <t>Hydraulic Floor Jack 3-Ton</t>
        </is>
      </c>
      <c r="C60" t="inlineStr">
        <is>
          <t>Store-Newark</t>
        </is>
      </c>
      <c r="D60" s="10" t="n">
        <v>57</v>
      </c>
      <c r="E60" s="10" t="n">
        <v>55</v>
      </c>
      <c r="F60" s="10" t="n">
        <v>2</v>
      </c>
      <c r="G60" s="10" t="n">
        <v>117</v>
      </c>
      <c r="H60" s="10" t="n">
        <v>27</v>
      </c>
      <c r="I60" s="13" t="n">
        <v>0.3214</v>
      </c>
      <c r="J60" s="11" t="n">
        <v>9230.58</v>
      </c>
      <c r="K60" t="inlineStr">
        <is>
          <t>Medium</t>
        </is>
      </c>
      <c r="L60" t="inlineStr">
        <is>
          <t>Excess</t>
        </is>
      </c>
      <c r="M60" t="inlineStr">
        <is>
          <t>Review Transfer</t>
        </is>
      </c>
      <c r="N60" t="inlineStr">
        <is>
          <t>Quantity exceeds max stock — consider transfer to locations with shortages.</t>
        </is>
      </c>
    </row>
    <row r="61">
      <c r="A61" t="inlineStr">
        <is>
          <t>T-1096</t>
        </is>
      </c>
      <c r="B61" t="inlineStr">
        <is>
          <t>Mavis Sport Grip 245/40R18</t>
        </is>
      </c>
      <c r="C61" t="inlineStr">
        <is>
          <t>Store-Queens</t>
        </is>
      </c>
      <c r="D61" s="10" t="n">
        <v>71</v>
      </c>
      <c r="E61" s="10" t="n">
        <v>43</v>
      </c>
      <c r="F61" s="10" t="n">
        <v>28</v>
      </c>
      <c r="G61" s="10" t="n">
        <v>67</v>
      </c>
      <c r="H61" s="10" t="n">
        <v>10</v>
      </c>
      <c r="I61" s="13" t="n">
        <v>0.1235</v>
      </c>
      <c r="J61" s="11" t="n">
        <v>9199.469999999999</v>
      </c>
      <c r="K61" t="inlineStr">
        <is>
          <t>Medium</t>
        </is>
      </c>
      <c r="L61" t="inlineStr">
        <is>
          <t>Excess</t>
        </is>
      </c>
      <c r="M61" t="inlineStr">
        <is>
          <t>Review Transfer</t>
        </is>
      </c>
      <c r="N61" t="inlineStr">
        <is>
          <t>Quantity exceeds max stock — consider transfer to locations with shortages.</t>
        </is>
      </c>
    </row>
    <row r="62">
      <c r="A62" t="inlineStr">
        <is>
          <t>T-1053</t>
        </is>
      </c>
      <c r="B62" t="inlineStr">
        <is>
          <t>Mavis Fleet HD 225/75R16</t>
        </is>
      </c>
      <c r="C62" t="inlineStr">
        <is>
          <t>DC-NY</t>
        </is>
      </c>
      <c r="D62" s="10" t="n">
        <v>62</v>
      </c>
      <c r="E62" s="10" t="n">
        <v>55</v>
      </c>
      <c r="F62" s="10" t="n">
        <v>7</v>
      </c>
      <c r="G62" s="10" t="n">
        <v>46</v>
      </c>
      <c r="H62" s="10" t="n">
        <v>29</v>
      </c>
      <c r="I62" s="13" t="n">
        <v>0.3187</v>
      </c>
      <c r="J62" s="11" t="n">
        <v>9158.639999999999</v>
      </c>
      <c r="K62" t="inlineStr">
        <is>
          <t>Medium</t>
        </is>
      </c>
      <c r="L62" t="inlineStr">
        <is>
          <t>Excess</t>
        </is>
      </c>
      <c r="M62" t="inlineStr">
        <is>
          <t>Review Transfer</t>
        </is>
      </c>
      <c r="N62" t="inlineStr">
        <is>
          <t>Quantity exceeds max stock — consider transfer to locations with shortages.</t>
        </is>
      </c>
    </row>
    <row r="63">
      <c r="A63" t="inlineStr">
        <is>
          <t>B-1022</t>
        </is>
      </c>
      <c r="B63" t="inlineStr">
        <is>
          <t>Mavis PowerStart 24F</t>
        </is>
      </c>
      <c r="C63" t="inlineStr">
        <is>
          <t>Store-WhitePlains</t>
        </is>
      </c>
      <c r="D63" s="10" t="n">
        <v>59</v>
      </c>
      <c r="E63" s="10" t="n">
        <v>46</v>
      </c>
      <c r="F63" s="10" t="n">
        <v>13</v>
      </c>
      <c r="G63" s="10" t="n">
        <v>117</v>
      </c>
      <c r="H63" s="10" t="n">
        <v>2</v>
      </c>
      <c r="I63" s="13" t="n">
        <v>0.0328</v>
      </c>
      <c r="J63" s="11" t="n">
        <v>7364.38</v>
      </c>
      <c r="K63" t="inlineStr">
        <is>
          <t>Medium</t>
        </is>
      </c>
      <c r="L63" t="inlineStr">
        <is>
          <t>Excess</t>
        </is>
      </c>
      <c r="M63" t="inlineStr">
        <is>
          <t>Review Transfer</t>
        </is>
      </c>
      <c r="N63" t="inlineStr">
        <is>
          <t>Quantity exceeds max stock — consider transfer to locations with shortages.</t>
        </is>
      </c>
    </row>
    <row r="64">
      <c r="A64" t="inlineStr">
        <is>
          <t>BP-1048</t>
        </is>
      </c>
      <c r="B64" t="inlineStr">
        <is>
          <t>Reman Brake Caliper - Rear</t>
        </is>
      </c>
      <c r="C64" t="inlineStr">
        <is>
          <t>Store-Newark</t>
        </is>
      </c>
      <c r="D64" s="10" t="n">
        <v>65</v>
      </c>
      <c r="E64" s="10" t="n">
        <v>36</v>
      </c>
      <c r="F64" s="10" t="n">
        <v>29</v>
      </c>
      <c r="G64" s="10" t="n">
        <v>64</v>
      </c>
      <c r="H64" s="10" t="n">
        <v>32</v>
      </c>
      <c r="I64" s="13" t="n">
        <v>0.3299</v>
      </c>
      <c r="J64" s="11" t="n">
        <v>4555.2</v>
      </c>
      <c r="K64" t="inlineStr">
        <is>
          <t>Medium</t>
        </is>
      </c>
      <c r="L64" t="inlineStr">
        <is>
          <t>Excess</t>
        </is>
      </c>
      <c r="M64" t="inlineStr">
        <is>
          <t>Review Transfer</t>
        </is>
      </c>
      <c r="N64" t="inlineStr">
        <is>
          <t>Quantity exceeds max stock — consider transfer to locations with shortages.</t>
        </is>
      </c>
    </row>
    <row r="65">
      <c r="A65" t="inlineStr">
        <is>
          <t>T-1015</t>
        </is>
      </c>
      <c r="B65" t="inlineStr">
        <is>
          <t>Mavis SnowTrack 205/55R16</t>
        </is>
      </c>
      <c r="C65" t="inlineStr">
        <is>
          <t>Store-Yonkers</t>
        </is>
      </c>
      <c r="D65" s="10" t="n">
        <v>47</v>
      </c>
      <c r="E65" s="10" t="n">
        <v>49</v>
      </c>
      <c r="F65" s="10" t="n">
        <v>0</v>
      </c>
      <c r="G65" s="10" t="n">
        <v>234</v>
      </c>
      <c r="H65" s="10" t="n">
        <v>3</v>
      </c>
      <c r="I65" s="13" t="n">
        <v>0.06</v>
      </c>
      <c r="J65" s="11" t="n">
        <v>4550.07</v>
      </c>
      <c r="K65" t="inlineStr">
        <is>
          <t>Medium</t>
        </is>
      </c>
      <c r="L65" t="inlineStr">
        <is>
          <t>Slow-Moving</t>
        </is>
      </c>
      <c r="M65" t="inlineStr">
        <is>
          <t>Markdown Review</t>
        </is>
      </c>
      <c r="N65" t="inlineStr">
        <is>
          <t>Sell-through below 15% over 180+ days — review markdown options.</t>
        </is>
      </c>
    </row>
    <row r="66">
      <c r="A66" t="inlineStr">
        <is>
          <t>A-1047</t>
        </is>
      </c>
      <c r="B66" t="inlineStr">
        <is>
          <t>All-Weather Floor Mat Set</t>
        </is>
      </c>
      <c r="C66" t="inlineStr">
        <is>
          <t>Store-Yonkers</t>
        </is>
      </c>
      <c r="D66" s="10" t="n">
        <v>88</v>
      </c>
      <c r="E66" s="10" t="n">
        <v>57</v>
      </c>
      <c r="F66" s="10" t="n">
        <v>31</v>
      </c>
      <c r="G66" s="10" t="n">
        <v>48</v>
      </c>
      <c r="H66" s="10" t="n">
        <v>30</v>
      </c>
      <c r="I66" s="13" t="n">
        <v>0.2542</v>
      </c>
      <c r="J66" s="11" t="n">
        <v>4440.48</v>
      </c>
      <c r="K66" t="inlineStr">
        <is>
          <t>Medium</t>
        </is>
      </c>
      <c r="L66" t="inlineStr">
        <is>
          <t>Excess</t>
        </is>
      </c>
      <c r="M66" t="inlineStr">
        <is>
          <t>Review Transfer</t>
        </is>
      </c>
      <c r="N66" t="inlineStr">
        <is>
          <t>Quantity exceeds max stock — consider transfer to locations with shortages.</t>
        </is>
      </c>
    </row>
    <row r="67">
      <c r="A67" t="inlineStr">
        <is>
          <t>T-1044</t>
        </is>
      </c>
      <c r="B67" t="inlineStr">
        <is>
          <t>3/8in Drive Socket Set 40pc</t>
        </is>
      </c>
      <c r="C67" t="inlineStr">
        <is>
          <t>Store-Yonkers</t>
        </is>
      </c>
      <c r="D67" s="10" t="n">
        <v>45</v>
      </c>
      <c r="E67" s="10" t="n">
        <v>34</v>
      </c>
      <c r="F67" s="10" t="n">
        <v>11</v>
      </c>
      <c r="G67" s="10" t="n">
        <v>50</v>
      </c>
      <c r="H67" s="10" t="n">
        <v>10</v>
      </c>
      <c r="I67" s="13" t="n">
        <v>0.1818</v>
      </c>
      <c r="J67" s="11" t="n">
        <v>2502</v>
      </c>
      <c r="K67" t="inlineStr">
        <is>
          <t>Medium</t>
        </is>
      </c>
      <c r="L67" t="inlineStr">
        <is>
          <t>Excess</t>
        </is>
      </c>
      <c r="M67" t="inlineStr">
        <is>
          <t>Review Transfer</t>
        </is>
      </c>
      <c r="N67" t="inlineStr">
        <is>
          <t>Quantity exceeds max stock — consider transfer to locations with shortages.</t>
        </is>
      </c>
    </row>
    <row r="68">
      <c r="A68" t="inlineStr">
        <is>
          <t>BP-1004</t>
        </is>
      </c>
      <c r="B68" t="inlineStr">
        <is>
          <t>Ceramic Brake Pad Set - Front</t>
        </is>
      </c>
      <c r="C68" t="inlineStr">
        <is>
          <t>Store-Queens</t>
        </is>
      </c>
      <c r="D68" s="10" t="n">
        <v>72</v>
      </c>
      <c r="E68" s="10" t="n">
        <v>35</v>
      </c>
      <c r="F68" s="10" t="n">
        <v>37</v>
      </c>
      <c r="G68" s="10" t="n">
        <v>95</v>
      </c>
      <c r="H68" s="10" t="n">
        <v>14</v>
      </c>
      <c r="I68" s="13" t="n">
        <v>0.1628</v>
      </c>
      <c r="J68" s="11" t="n">
        <v>2374.56</v>
      </c>
      <c r="K68" t="inlineStr">
        <is>
          <t>Medium</t>
        </is>
      </c>
      <c r="L68" t="inlineStr">
        <is>
          <t>Excess</t>
        </is>
      </c>
      <c r="M68" t="inlineStr">
        <is>
          <t>Review Transfer</t>
        </is>
      </c>
      <c r="N68" t="inlineStr">
        <is>
          <t>Quantity exceeds max stock — consider transfer to locations with shortages.</t>
        </is>
      </c>
    </row>
    <row r="69">
      <c r="A69" t="inlineStr">
        <is>
          <t>A-1083</t>
        </is>
      </c>
      <c r="B69" t="inlineStr">
        <is>
          <t>Serpentine Belt 6-Rib 68in</t>
        </is>
      </c>
      <c r="C69" t="inlineStr">
        <is>
          <t>Store-Brooklyn</t>
        </is>
      </c>
      <c r="D69" s="10" t="n">
        <v>60</v>
      </c>
      <c r="E69" s="10" t="n">
        <v>27</v>
      </c>
      <c r="F69" s="10" t="n">
        <v>33</v>
      </c>
      <c r="G69" s="10" t="n">
        <v>60</v>
      </c>
      <c r="H69" s="10" t="n">
        <v>33</v>
      </c>
      <c r="I69" s="13" t="n">
        <v>0.3548</v>
      </c>
      <c r="J69" s="11" t="n">
        <v>1441.2</v>
      </c>
      <c r="K69" t="inlineStr">
        <is>
          <t>Medium</t>
        </is>
      </c>
      <c r="L69" t="inlineStr">
        <is>
          <t>Excess</t>
        </is>
      </c>
      <c r="M69" t="inlineStr">
        <is>
          <t>Review Transfer</t>
        </is>
      </c>
      <c r="N69" t="inlineStr">
        <is>
          <t>Quantity exceeds max stock — consider transfer to locations with shortages.</t>
        </is>
      </c>
    </row>
    <row r="70">
      <c r="A70" t="inlineStr">
        <is>
          <t>SS-1084</t>
        </is>
      </c>
      <c r="B70" t="inlineStr">
        <is>
          <t>Nitrile Gloves Box/100</t>
        </is>
      </c>
      <c r="C70" t="inlineStr">
        <is>
          <t>Store-Manhattan</t>
        </is>
      </c>
      <c r="D70" s="10" t="n">
        <v>79</v>
      </c>
      <c r="E70" s="10" t="n">
        <v>47</v>
      </c>
      <c r="F70" s="10" t="n">
        <v>32</v>
      </c>
      <c r="G70" s="10" t="n">
        <v>175</v>
      </c>
      <c r="H70" s="10" t="n">
        <v>5</v>
      </c>
      <c r="I70" s="13" t="n">
        <v>0.0595</v>
      </c>
      <c r="J70" s="11" t="n">
        <v>1439.38</v>
      </c>
      <c r="K70" t="inlineStr">
        <is>
          <t>Medium</t>
        </is>
      </c>
      <c r="L70" t="inlineStr">
        <is>
          <t>Excess</t>
        </is>
      </c>
      <c r="M70" t="inlineStr">
        <is>
          <t>Review Transfer</t>
        </is>
      </c>
      <c r="N70" t="inlineStr">
        <is>
          <t>Quantity exceeds max stock — consider transfer to locations with shortages.</t>
        </is>
      </c>
    </row>
    <row r="71">
      <c r="A71" t="inlineStr">
        <is>
          <t>BP-1005</t>
        </is>
      </c>
      <c r="B71" t="inlineStr">
        <is>
          <t>Vented Brake Rotor 11.8in</t>
        </is>
      </c>
      <c r="C71" t="inlineStr">
        <is>
          <t>Store-Brooklyn</t>
        </is>
      </c>
      <c r="D71" s="10" t="n">
        <v>28</v>
      </c>
      <c r="E71" s="10" t="n">
        <v>40</v>
      </c>
      <c r="F71" s="10" t="n">
        <v>0</v>
      </c>
      <c r="G71" s="10" t="n">
        <v>210</v>
      </c>
      <c r="H71" s="10" t="n">
        <v>2</v>
      </c>
      <c r="I71" s="13" t="n">
        <v>0.0667</v>
      </c>
      <c r="J71" s="11" t="n">
        <v>1351.56</v>
      </c>
      <c r="K71" t="inlineStr">
        <is>
          <t>Medium</t>
        </is>
      </c>
      <c r="L71" t="inlineStr">
        <is>
          <t>Slow-Moving</t>
        </is>
      </c>
      <c r="M71" t="inlineStr">
        <is>
          <t>Markdown Review</t>
        </is>
      </c>
      <c r="N71" t="inlineStr">
        <is>
          <t>Sell-through below 15% over 180+ days — review markdown options.</t>
        </is>
      </c>
    </row>
    <row r="72">
      <c r="A72" t="inlineStr">
        <is>
          <t>SS-1107</t>
        </is>
      </c>
      <c r="B72" t="inlineStr">
        <is>
          <t>Assorted Clip &amp; Retainer Kit</t>
        </is>
      </c>
      <c r="C72" t="inlineStr">
        <is>
          <t>Store-Yonkers</t>
        </is>
      </c>
      <c r="D72" s="10" t="n">
        <v>58</v>
      </c>
      <c r="E72" s="10" t="n">
        <v>57</v>
      </c>
      <c r="F72" s="10" t="n">
        <v>1</v>
      </c>
      <c r="G72" s="10" t="n">
        <v>148</v>
      </c>
      <c r="H72" s="10" t="n">
        <v>0</v>
      </c>
      <c r="I72" s="13" t="n">
        <v>0</v>
      </c>
      <c r="J72" s="11" t="n">
        <v>1239.46</v>
      </c>
      <c r="K72" t="inlineStr">
        <is>
          <t>Medium</t>
        </is>
      </c>
      <c r="L72" t="inlineStr">
        <is>
          <t>Excess</t>
        </is>
      </c>
      <c r="M72" t="inlineStr">
        <is>
          <t>Review Transfer</t>
        </is>
      </c>
      <c r="N72" t="inlineStr">
        <is>
          <t>Quantity exceeds max stock — consider transfer to locations with shortages.</t>
        </is>
      </c>
    </row>
    <row r="73">
      <c r="A73" t="inlineStr">
        <is>
          <t>A-1010</t>
        </is>
      </c>
      <c r="B73" t="inlineStr">
        <is>
          <t>Beam Wiper Blade 22in</t>
        </is>
      </c>
      <c r="C73" t="inlineStr">
        <is>
          <t>Store-Queens</t>
        </is>
      </c>
      <c r="D73" s="10" t="n">
        <v>57</v>
      </c>
      <c r="E73" s="10" t="n">
        <v>37</v>
      </c>
      <c r="F73" s="10" t="n">
        <v>20</v>
      </c>
      <c r="G73" s="10" t="n">
        <v>83</v>
      </c>
      <c r="H73" s="10" t="n">
        <v>16</v>
      </c>
      <c r="I73" s="13" t="n">
        <v>0.2192</v>
      </c>
      <c r="J73" s="11" t="n">
        <v>1136.58</v>
      </c>
      <c r="K73" t="inlineStr">
        <is>
          <t>Medium</t>
        </is>
      </c>
      <c r="L73" t="inlineStr">
        <is>
          <t>Excess</t>
        </is>
      </c>
      <c r="M73" t="inlineStr">
        <is>
          <t>Review Transfer</t>
        </is>
      </c>
      <c r="N73" t="inlineStr">
        <is>
          <t>Quantity exceeds max stock — consider transfer to locations with shortages.</t>
        </is>
      </c>
    </row>
    <row r="74">
      <c r="A74" t="inlineStr">
        <is>
          <t>F-1007</t>
        </is>
      </c>
      <c r="B74" t="inlineStr">
        <is>
          <t>Cabin Air Filter CF-1180</t>
        </is>
      </c>
      <c r="C74" t="inlineStr">
        <is>
          <t>DC-PA</t>
        </is>
      </c>
      <c r="D74" s="10" t="n">
        <v>66</v>
      </c>
      <c r="E74" s="10" t="n">
        <v>40</v>
      </c>
      <c r="F74" s="10" t="n">
        <v>26</v>
      </c>
      <c r="G74" s="10" t="n">
        <v>31</v>
      </c>
      <c r="H74" s="10" t="n">
        <v>30</v>
      </c>
      <c r="I74" s="13" t="n">
        <v>0.3125</v>
      </c>
      <c r="J74" s="11" t="n">
        <v>1103.52</v>
      </c>
      <c r="K74" t="inlineStr">
        <is>
          <t>Medium</t>
        </is>
      </c>
      <c r="L74" t="inlineStr">
        <is>
          <t>Excess</t>
        </is>
      </c>
      <c r="M74" t="inlineStr">
        <is>
          <t>Review Transfer</t>
        </is>
      </c>
      <c r="N74" t="inlineStr">
        <is>
          <t>Quantity exceeds max stock — consider transfer to locations with shortages.</t>
        </is>
      </c>
    </row>
    <row r="75">
      <c r="A75" t="inlineStr">
        <is>
          <t>F-1012</t>
        </is>
      </c>
      <c r="B75" t="inlineStr">
        <is>
          <t>Engine Air Filter AF-9921</t>
        </is>
      </c>
      <c r="C75" t="inlineStr">
        <is>
          <t>Store-Yonkers</t>
        </is>
      </c>
      <c r="D75" s="10" t="n">
        <v>70</v>
      </c>
      <c r="E75" s="10" t="n">
        <v>44</v>
      </c>
      <c r="F75" s="10" t="n">
        <v>26</v>
      </c>
      <c r="G75" s="10" t="n">
        <v>124</v>
      </c>
      <c r="H75" s="10" t="n">
        <v>8</v>
      </c>
      <c r="I75" s="13" t="n">
        <v>0.1026</v>
      </c>
      <c r="J75" s="11" t="n">
        <v>958.3</v>
      </c>
      <c r="K75" t="inlineStr">
        <is>
          <t>Medium</t>
        </is>
      </c>
      <c r="L75" t="inlineStr">
        <is>
          <t>Excess</t>
        </is>
      </c>
      <c r="M75" t="inlineStr">
        <is>
          <t>Review Transfer</t>
        </is>
      </c>
      <c r="N75" t="inlineStr">
        <is>
          <t>Quantity exceeds max stock — consider transfer to locations with shortages.</t>
        </is>
      </c>
    </row>
    <row r="76">
      <c r="A76" t="inlineStr">
        <is>
          <t>F-1050</t>
        </is>
      </c>
      <c r="B76" t="inlineStr">
        <is>
          <t>Engine Air Filter AF-9921</t>
        </is>
      </c>
      <c r="C76" t="inlineStr">
        <is>
          <t>Store-Manhattan</t>
        </is>
      </c>
      <c r="D76" s="10" t="n">
        <v>67</v>
      </c>
      <c r="E76" s="10" t="n">
        <v>49</v>
      </c>
      <c r="F76" s="10" t="n">
        <v>18</v>
      </c>
      <c r="G76" s="10" t="n">
        <v>168</v>
      </c>
      <c r="H76" s="10" t="n">
        <v>28</v>
      </c>
      <c r="I76" s="13" t="n">
        <v>0.2947</v>
      </c>
      <c r="J76" s="11" t="n">
        <v>952.0700000000001</v>
      </c>
      <c r="K76" t="inlineStr">
        <is>
          <t>Medium</t>
        </is>
      </c>
      <c r="L76" t="inlineStr">
        <is>
          <t>Excess</t>
        </is>
      </c>
      <c r="M76" t="inlineStr">
        <is>
          <t>Review Transfer</t>
        </is>
      </c>
      <c r="N76" t="inlineStr">
        <is>
          <t>Quantity exceeds max stock — consider transfer to locations with shortages.</t>
        </is>
      </c>
    </row>
    <row r="77">
      <c r="A77" t="inlineStr">
        <is>
          <t>F-1036</t>
        </is>
      </c>
      <c r="B77" t="inlineStr">
        <is>
          <t>Premium Oil Filter PF-2234</t>
        </is>
      </c>
      <c r="C77" t="inlineStr">
        <is>
          <t>DC-PA</t>
        </is>
      </c>
      <c r="D77" s="10" t="n">
        <v>81</v>
      </c>
      <c r="E77" s="10" t="n">
        <v>51</v>
      </c>
      <c r="F77" s="10" t="n">
        <v>30</v>
      </c>
      <c r="G77" s="10" t="n">
        <v>105</v>
      </c>
      <c r="H77" s="10" t="n">
        <v>1</v>
      </c>
      <c r="I77" s="13" t="n">
        <v>0.0122</v>
      </c>
      <c r="J77" s="11" t="n">
        <v>732.24</v>
      </c>
      <c r="K77" t="inlineStr">
        <is>
          <t>Medium</t>
        </is>
      </c>
      <c r="L77" t="inlineStr">
        <is>
          <t>Excess</t>
        </is>
      </c>
      <c r="M77" t="inlineStr">
        <is>
          <t>Review Transfer</t>
        </is>
      </c>
      <c r="N77" t="inlineStr">
        <is>
          <t>Quantity exceeds max stock — consider transfer to locations with shortages.</t>
        </is>
      </c>
    </row>
    <row r="78">
      <c r="A78" t="inlineStr">
        <is>
          <t>F-1080</t>
        </is>
      </c>
      <c r="B78" t="inlineStr">
        <is>
          <t>Engine Air Filter AF-9921</t>
        </is>
      </c>
      <c r="C78" t="inlineStr">
        <is>
          <t>DC-NJ</t>
        </is>
      </c>
      <c r="D78" s="10" t="n">
        <v>49</v>
      </c>
      <c r="E78" s="10" t="n">
        <v>29</v>
      </c>
      <c r="F78" s="10" t="n">
        <v>20</v>
      </c>
      <c r="G78" s="10" t="n">
        <v>81</v>
      </c>
      <c r="H78" s="10" t="n">
        <v>13</v>
      </c>
      <c r="I78" s="13" t="n">
        <v>0.2097</v>
      </c>
      <c r="J78" s="11" t="n">
        <v>692.86</v>
      </c>
      <c r="K78" t="inlineStr">
        <is>
          <t>Medium</t>
        </is>
      </c>
      <c r="L78" t="inlineStr">
        <is>
          <t>Excess</t>
        </is>
      </c>
      <c r="M78" t="inlineStr">
        <is>
          <t>Review Transfer</t>
        </is>
      </c>
      <c r="N78" t="inlineStr">
        <is>
          <t>Quantity exceeds max stock — consider transfer to locations with shortages.</t>
        </is>
      </c>
    </row>
    <row r="79">
      <c r="A79" t="inlineStr">
        <is>
          <t>F-1082</t>
        </is>
      </c>
      <c r="B79" t="inlineStr">
        <is>
          <t>Extended Life Coolant 1gal</t>
        </is>
      </c>
      <c r="C79" t="inlineStr">
        <is>
          <t>Store-WhitePlains</t>
        </is>
      </c>
      <c r="D79" s="10" t="n">
        <v>35</v>
      </c>
      <c r="E79" s="10" t="n">
        <v>45</v>
      </c>
      <c r="F79" s="10" t="n">
        <v>0</v>
      </c>
      <c r="G79" s="10" t="n">
        <v>395</v>
      </c>
      <c r="H79" s="10" t="n">
        <v>5</v>
      </c>
      <c r="I79" s="13" t="n">
        <v>0.125</v>
      </c>
      <c r="J79" s="11" t="n">
        <v>648.2</v>
      </c>
      <c r="K79" t="inlineStr">
        <is>
          <t>Medium</t>
        </is>
      </c>
      <c r="L79" t="inlineStr">
        <is>
          <t>Slow-Moving</t>
        </is>
      </c>
      <c r="M79" t="inlineStr">
        <is>
          <t>Markdown Review</t>
        </is>
      </c>
      <c r="N79" t="inlineStr">
        <is>
          <t>Sell-through below 15% over 180+ days — review markdown options.</t>
        </is>
      </c>
    </row>
    <row r="80">
      <c r="A80" t="inlineStr">
        <is>
          <t>SS-1051</t>
        </is>
      </c>
      <c r="B80" t="inlineStr">
        <is>
          <t>Nitrile Gloves Box/100</t>
        </is>
      </c>
      <c r="C80" t="inlineStr">
        <is>
          <t>Store-Newark</t>
        </is>
      </c>
      <c r="D80" s="10" t="n">
        <v>32</v>
      </c>
      <c r="E80" s="10" t="n">
        <v>30</v>
      </c>
      <c r="F80" s="10" t="n">
        <v>2</v>
      </c>
      <c r="G80" s="10" t="n">
        <v>80</v>
      </c>
      <c r="H80" s="10" t="n">
        <v>31</v>
      </c>
      <c r="I80" s="13" t="n">
        <v>0.4921</v>
      </c>
      <c r="J80" s="11" t="n">
        <v>584.96</v>
      </c>
      <c r="K80" t="inlineStr">
        <is>
          <t>Medium</t>
        </is>
      </c>
      <c r="L80" t="inlineStr">
        <is>
          <t>Excess</t>
        </is>
      </c>
      <c r="M80" t="inlineStr">
        <is>
          <t>Review Transfer</t>
        </is>
      </c>
      <c r="N80" t="inlineStr">
        <is>
          <t>Quantity exceeds max stock — consider transfer to locations with shortages.</t>
        </is>
      </c>
    </row>
    <row r="81">
      <c r="A81" t="inlineStr">
        <is>
          <t>F-1024</t>
        </is>
      </c>
      <c r="B81" t="inlineStr">
        <is>
          <t>Inline Fuel Filter FF-330</t>
        </is>
      </c>
      <c r="C81" t="inlineStr">
        <is>
          <t>Store-WhitePlains</t>
        </is>
      </c>
      <c r="D81" s="10" t="n">
        <v>24</v>
      </c>
      <c r="E81" s="10" t="n">
        <v>43</v>
      </c>
      <c r="F81" s="10" t="n">
        <v>0</v>
      </c>
      <c r="G81" s="10" t="n">
        <v>265</v>
      </c>
      <c r="H81" s="10" t="n">
        <v>4</v>
      </c>
      <c r="I81" s="13" t="n">
        <v>0.1429</v>
      </c>
      <c r="J81" s="11" t="n">
        <v>289.92</v>
      </c>
      <c r="K81" t="inlineStr">
        <is>
          <t>Medium</t>
        </is>
      </c>
      <c r="L81" t="inlineStr">
        <is>
          <t>Slow-Moving</t>
        </is>
      </c>
      <c r="M81" t="inlineStr">
        <is>
          <t>Markdown Review</t>
        </is>
      </c>
      <c r="N81" t="inlineStr">
        <is>
          <t>Sell-through below 15% over 180+ days — review markdown options.</t>
        </is>
      </c>
    </row>
    <row r="82">
      <c r="A82" t="inlineStr">
        <is>
          <t>SS-1017</t>
        </is>
      </c>
      <c r="B82" t="inlineStr">
        <is>
          <t>Multi-Purpose Grease 14oz</t>
        </is>
      </c>
      <c r="C82" t="inlineStr">
        <is>
          <t>Store-Bronx</t>
        </is>
      </c>
      <c r="D82" s="10" t="n">
        <v>33</v>
      </c>
      <c r="E82" s="10" t="n">
        <v>42</v>
      </c>
      <c r="F82" s="10" t="n">
        <v>0</v>
      </c>
      <c r="G82" s="10" t="n">
        <v>279</v>
      </c>
      <c r="H82" s="10" t="n">
        <v>4</v>
      </c>
      <c r="I82" s="13" t="n">
        <v>0.1081</v>
      </c>
      <c r="J82" s="11" t="n">
        <v>267.96</v>
      </c>
      <c r="K82" t="inlineStr">
        <is>
          <t>Medium</t>
        </is>
      </c>
      <c r="L82" t="inlineStr">
        <is>
          <t>Slow-Moving</t>
        </is>
      </c>
      <c r="M82" t="inlineStr">
        <is>
          <t>Markdown Review</t>
        </is>
      </c>
      <c r="N82" t="inlineStr">
        <is>
          <t>Sell-through below 15% over 180+ days — review markdown options.</t>
        </is>
      </c>
    </row>
    <row r="83">
      <c r="A83" t="inlineStr">
        <is>
          <t>F-1049</t>
        </is>
      </c>
      <c r="B83" t="inlineStr">
        <is>
          <t>DOT 4 Brake Fluid 12oz</t>
        </is>
      </c>
      <c r="C83" t="inlineStr">
        <is>
          <t>DC-NJ</t>
        </is>
      </c>
      <c r="D83" s="10" t="n">
        <v>35</v>
      </c>
      <c r="E83" s="10" t="n">
        <v>31</v>
      </c>
      <c r="F83" s="10" t="n">
        <v>4</v>
      </c>
      <c r="G83" s="10" t="n">
        <v>13</v>
      </c>
      <c r="H83" s="10" t="n">
        <v>24</v>
      </c>
      <c r="I83" s="13" t="n">
        <v>0.4068</v>
      </c>
      <c r="J83" s="11" t="n">
        <v>211.75</v>
      </c>
      <c r="K83" t="inlineStr">
        <is>
          <t>Medium</t>
        </is>
      </c>
      <c r="L83" t="inlineStr">
        <is>
          <t>Excess</t>
        </is>
      </c>
      <c r="M83" t="inlineStr">
        <is>
          <t>Review Transfer</t>
        </is>
      </c>
      <c r="N83" t="inlineStr">
        <is>
          <t>Quantity exceeds max stock — consider transfer to locations with shortages.</t>
        </is>
      </c>
    </row>
  </sheetData>
  <mergeCells count="1">
    <mergeCell ref="A1:N1"/>
  </mergeCells>
  <conditionalFormatting sqref="K3:K83">
    <cfRule type="expression" priority="1" dxfId="1">
      <formula>$K3="High"</formula>
    </cfRule>
    <cfRule type="expression" priority="2" dxfId="3">
      <formula>$K3="Medium"</formula>
    </cfRule>
    <cfRule type="expression" priority="3" dxfId="0">
      <formula>$K3="Low"</formula>
    </cfRule>
  </conditionalFormatting>
  <dataValidations count="1">
    <dataValidation sqref="M3:M83" showDropDown="0" showInputMessage="0" showErrorMessage="1" allowBlank="1" errorTitle="Invalid Entry" error="Please select a value from the dropdown list." type="list">
      <formula1>"Monitor,Replenish,Review Transfer,Transfer or Markdown,Markdown Review,Liquidate"</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O62"/>
  <sheetViews>
    <sheetView showGridLines="0" workbookViewId="0">
      <pane ySplit="2" topLeftCell="A3" activePane="bottomLeft" state="frozen"/>
      <selection pane="bottomLeft" activeCell="A1" sqref="A1"/>
    </sheetView>
  </sheetViews>
  <sheetFormatPr baseColWidth="8" defaultRowHeight="15"/>
  <cols>
    <col width="38" customWidth="1" min="1" max="1"/>
    <col width="31" customWidth="1" min="2" max="2"/>
    <col width="19" customWidth="1" min="3" max="3"/>
    <col width="18" customWidth="1" min="4" max="4"/>
    <col width="11" customWidth="1" min="5" max="5"/>
    <col width="23" customWidth="1" min="6" max="6"/>
    <col width="18" customWidth="1" min="7" max="7"/>
    <col width="10" customWidth="1" min="8" max="8"/>
    <col width="14" customWidth="1" min="9" max="9"/>
    <col width="22" customWidth="1" min="10" max="10"/>
    <col width="16" customWidth="1" min="11" max="11"/>
    <col width="26" customWidth="1" min="12" max="12"/>
    <col width="26" customWidth="1" min="13" max="13"/>
    <col width="15" customWidth="1" min="14" max="14"/>
    <col width="25" customWidth="1" min="15" max="15"/>
  </cols>
  <sheetData>
    <row r="1" ht="28" customHeight="1">
      <c r="A1" s="8" t="inlineStr">
        <is>
          <t>Markdown Planner — 60 Candidate Items</t>
        </is>
      </c>
    </row>
    <row r="2" ht="22" customHeight="1">
      <c r="A2" s="9" t="inlineStr">
        <is>
          <t>SKU</t>
        </is>
      </c>
      <c r="B2" s="9" t="inlineStr">
        <is>
          <t>Product Name</t>
        </is>
      </c>
      <c r="C2" s="9" t="inlineStr">
        <is>
          <t>Location</t>
        </is>
      </c>
      <c r="D2" s="9" t="inlineStr">
        <is>
          <t>Quantity On Hand</t>
        </is>
      </c>
      <c r="E2" s="9" t="inlineStr">
        <is>
          <t>Unit Cost</t>
        </is>
      </c>
      <c r="F2" s="9" t="inlineStr">
        <is>
          <t>Current Selling Price</t>
        </is>
      </c>
      <c r="G2" s="9" t="inlineStr">
        <is>
          <t>Current Margin %</t>
        </is>
      </c>
      <c r="H2" s="9" t="inlineStr">
        <is>
          <t>Age Days</t>
        </is>
      </c>
      <c r="I2" s="9" t="inlineStr">
        <is>
          <t>Demand Trend</t>
        </is>
      </c>
      <c r="J2" s="9" t="inlineStr">
        <is>
          <t>Suggested Markdown %</t>
        </is>
      </c>
      <c r="K2" s="9" t="inlineStr">
        <is>
          <t>Markdown Price</t>
        </is>
      </c>
      <c r="L2" s="9" t="inlineStr">
        <is>
          <t>Projected Sell Through %</t>
        </is>
      </c>
      <c r="M2" s="9" t="inlineStr">
        <is>
          <t>Estimated Recovery Value</t>
        </is>
      </c>
      <c r="N2" s="9" t="inlineStr">
        <is>
          <t>Margin Impact</t>
        </is>
      </c>
      <c r="O2" s="9" t="inlineStr">
        <is>
          <t>Recommended Disposition</t>
        </is>
      </c>
    </row>
    <row r="3">
      <c r="A3" t="inlineStr">
        <is>
          <t>T-1002</t>
        </is>
      </c>
      <c r="B3" t="inlineStr">
        <is>
          <t>Mavis SnowTrack 205/55R16</t>
        </is>
      </c>
      <c r="C3" t="inlineStr">
        <is>
          <t>DC-PA</t>
        </is>
      </c>
      <c r="D3" s="10" t="n">
        <v>22</v>
      </c>
      <c r="E3" s="11" t="n">
        <v>100.7</v>
      </c>
      <c r="F3" s="11" t="n">
        <v>138.79</v>
      </c>
      <c r="G3" s="13" t="n">
        <v>0.2744</v>
      </c>
      <c r="H3" s="10" t="n">
        <v>410</v>
      </c>
      <c r="I3" t="inlineStr">
        <is>
          <t>No Demand</t>
        </is>
      </c>
      <c r="J3" s="13" t="n">
        <v>0.3</v>
      </c>
      <c r="K3" s="11" t="n">
        <v>97.15000000000001</v>
      </c>
      <c r="L3" s="13" t="n">
        <v>0.135</v>
      </c>
      <c r="M3" s="11" t="n">
        <v>288.54</v>
      </c>
      <c r="N3" s="11" t="n">
        <v>-10.54</v>
      </c>
      <c r="O3" t="inlineStr">
        <is>
          <t>Liquidate</t>
        </is>
      </c>
    </row>
    <row r="4">
      <c r="A4" t="inlineStr">
        <is>
          <t>B-1045</t>
        </is>
      </c>
      <c r="B4" t="inlineStr">
        <is>
          <t>Deep Cycle Marine 27DC</t>
        </is>
      </c>
      <c r="C4" t="inlineStr">
        <is>
          <t>Store-Brooklyn</t>
        </is>
      </c>
      <c r="D4" s="10" t="n">
        <v>79</v>
      </c>
      <c r="E4" s="11" t="n">
        <v>144.23</v>
      </c>
      <c r="F4" s="11" t="n">
        <v>210.9</v>
      </c>
      <c r="G4" s="13" t="n">
        <v>0.3161</v>
      </c>
      <c r="H4" s="10" t="n">
        <v>365</v>
      </c>
      <c r="I4" t="inlineStr">
        <is>
          <t>Moderate</t>
        </is>
      </c>
      <c r="J4" s="13" t="n">
        <v>0.2</v>
      </c>
      <c r="K4" s="11" t="n">
        <v>168.72</v>
      </c>
      <c r="L4" s="13" t="n">
        <v>0.3376</v>
      </c>
      <c r="M4" s="11" t="n">
        <v>4499.83</v>
      </c>
      <c r="N4" s="11" t="n">
        <v>-650.9299999999999</v>
      </c>
      <c r="O4" t="inlineStr">
        <is>
          <t>20% Markdown</t>
        </is>
      </c>
    </row>
    <row r="5">
      <c r="A5" t="inlineStr">
        <is>
          <t>B-1054</t>
        </is>
      </c>
      <c r="B5" t="inlineStr">
        <is>
          <t>Deep Cycle Marine 27DC</t>
        </is>
      </c>
      <c r="C5" t="inlineStr">
        <is>
          <t>Store-Yonkers</t>
        </is>
      </c>
      <c r="D5" s="10" t="n">
        <v>55</v>
      </c>
      <c r="E5" s="11" t="n">
        <v>140.18</v>
      </c>
      <c r="F5" s="11" t="n">
        <v>211.79</v>
      </c>
      <c r="G5" s="13" t="n">
        <v>0.3381</v>
      </c>
      <c r="H5" s="10" t="n">
        <v>271</v>
      </c>
      <c r="I5" t="inlineStr">
        <is>
          <t>Moderate</t>
        </is>
      </c>
      <c r="J5" s="13" t="n">
        <v>0.2</v>
      </c>
      <c r="K5" s="11" t="n">
        <v>169.43</v>
      </c>
      <c r="L5" s="13" t="n">
        <v>0.3663</v>
      </c>
      <c r="M5" s="11" t="n">
        <v>3413.42</v>
      </c>
      <c r="N5" s="11" t="n">
        <v>-498.94</v>
      </c>
      <c r="O5" t="inlineStr">
        <is>
          <t>20% Markdown</t>
        </is>
      </c>
    </row>
    <row r="6">
      <c r="A6" t="inlineStr">
        <is>
          <t>B-1071</t>
        </is>
      </c>
      <c r="B6" t="inlineStr">
        <is>
          <t>Deep Cycle Marine 27DC</t>
        </is>
      </c>
      <c r="C6" t="inlineStr">
        <is>
          <t>Store-Queens</t>
        </is>
      </c>
      <c r="D6" s="10" t="n">
        <v>34</v>
      </c>
      <c r="E6" s="11" t="n">
        <v>139.83</v>
      </c>
      <c r="F6" s="11" t="n">
        <v>230.6</v>
      </c>
      <c r="G6" s="13" t="n">
        <v>0.3936</v>
      </c>
      <c r="H6" s="10" t="n">
        <v>386</v>
      </c>
      <c r="I6" t="inlineStr">
        <is>
          <t>Moderate</t>
        </is>
      </c>
      <c r="J6" s="13" t="n">
        <v>0.2</v>
      </c>
      <c r="K6" s="11" t="n">
        <v>184.48</v>
      </c>
      <c r="L6" s="13" t="n">
        <v>0.5137</v>
      </c>
      <c r="M6" s="11" t="n">
        <v>3222.09</v>
      </c>
      <c r="N6" s="11" t="n">
        <v>-527.77</v>
      </c>
      <c r="O6" t="inlineStr">
        <is>
          <t>20% Markdown</t>
        </is>
      </c>
    </row>
    <row r="7">
      <c r="A7" t="inlineStr">
        <is>
          <t>B-1030</t>
        </is>
      </c>
      <c r="B7" t="inlineStr">
        <is>
          <t>Mavis AGM 47H6</t>
        </is>
      </c>
      <c r="C7" t="inlineStr">
        <is>
          <t>Store-Manhattan</t>
        </is>
      </c>
      <c r="D7" s="10" t="n">
        <v>43</v>
      </c>
      <c r="E7" s="11" t="n">
        <v>192.01</v>
      </c>
      <c r="F7" s="11" t="n">
        <v>301.09</v>
      </c>
      <c r="G7" s="13" t="n">
        <v>0.3623</v>
      </c>
      <c r="H7" s="10" t="n">
        <v>283</v>
      </c>
      <c r="I7" t="inlineStr">
        <is>
          <t>Declining</t>
        </is>
      </c>
      <c r="J7" s="13" t="n">
        <v>0.2</v>
      </c>
      <c r="K7" s="11" t="n">
        <v>240.87</v>
      </c>
      <c r="L7" s="13" t="n">
        <v>0.1751</v>
      </c>
      <c r="M7" s="11" t="n">
        <v>1813.58</v>
      </c>
      <c r="N7" s="11" t="n">
        <v>-31.27</v>
      </c>
      <c r="O7" t="inlineStr">
        <is>
          <t>20% Markdown</t>
        </is>
      </c>
    </row>
    <row r="8">
      <c r="A8" t="inlineStr">
        <is>
          <t>BP-1075</t>
        </is>
      </c>
      <c r="B8" t="inlineStr">
        <is>
          <t>Vented Brake Rotor 11.8in</t>
        </is>
      </c>
      <c r="C8" t="inlineStr">
        <is>
          <t>DC-NY</t>
        </is>
      </c>
      <c r="D8" s="10" t="n">
        <v>84</v>
      </c>
      <c r="E8" s="11" t="n">
        <v>50.61</v>
      </c>
      <c r="F8" s="11" t="n">
        <v>69.19</v>
      </c>
      <c r="G8" s="13" t="n">
        <v>0.2685</v>
      </c>
      <c r="H8" s="10" t="n">
        <v>337</v>
      </c>
      <c r="I8" t="inlineStr">
        <is>
          <t>Moderate</t>
        </is>
      </c>
      <c r="J8" s="13" t="n">
        <v>0.2</v>
      </c>
      <c r="K8" s="11" t="n">
        <v>55.35</v>
      </c>
      <c r="L8" s="13" t="n">
        <v>0.3721</v>
      </c>
      <c r="M8" s="11" t="n">
        <v>1730.04</v>
      </c>
      <c r="N8" s="11" t="n">
        <v>-292.12</v>
      </c>
      <c r="O8" t="inlineStr">
        <is>
          <t>20% Markdown</t>
        </is>
      </c>
    </row>
    <row r="9">
      <c r="A9" t="inlineStr">
        <is>
          <t>T-1037</t>
        </is>
      </c>
      <c r="B9" t="inlineStr">
        <is>
          <t>Hydraulic Floor Jack 3-Ton</t>
        </is>
      </c>
      <c r="C9" t="inlineStr">
        <is>
          <t>DC-NJ</t>
        </is>
      </c>
      <c r="D9" s="10" t="n">
        <v>56</v>
      </c>
      <c r="E9" s="11" t="n">
        <v>161.87</v>
      </c>
      <c r="F9" s="11" t="n">
        <v>256.28</v>
      </c>
      <c r="G9" s="13" t="n">
        <v>0.3684</v>
      </c>
      <c r="H9" s="10" t="n">
        <v>367</v>
      </c>
      <c r="I9" t="inlineStr">
        <is>
          <t>Declining</t>
        </is>
      </c>
      <c r="J9" s="13" t="n">
        <v>0.2</v>
      </c>
      <c r="K9" s="11" t="n">
        <v>205.02</v>
      </c>
      <c r="L9" s="13" t="n">
        <v>0.1075</v>
      </c>
      <c r="M9" s="11" t="n">
        <v>1234.22</v>
      </c>
      <c r="N9" s="11" t="n">
        <v>167.24</v>
      </c>
      <c r="O9" t="inlineStr">
        <is>
          <t>20% Markdown</t>
        </is>
      </c>
    </row>
    <row r="10">
      <c r="A10" t="inlineStr">
        <is>
          <t>T-1072</t>
        </is>
      </c>
      <c r="B10" t="inlineStr">
        <is>
          <t>Mavis Sport Grip 245/40R18</t>
        </is>
      </c>
      <c r="C10" t="inlineStr">
        <is>
          <t>Store-Newark</t>
        </is>
      </c>
      <c r="D10" s="10" t="n">
        <v>57</v>
      </c>
      <c r="E10" s="11" t="n">
        <v>130.71</v>
      </c>
      <c r="F10" s="11" t="n">
        <v>202.56</v>
      </c>
      <c r="G10" s="13" t="n">
        <v>0.3547</v>
      </c>
      <c r="H10" s="10" t="n">
        <v>352</v>
      </c>
      <c r="I10" t="inlineStr">
        <is>
          <t>Declining</t>
        </is>
      </c>
      <c r="J10" s="13" t="n">
        <v>0.2</v>
      </c>
      <c r="K10" s="11" t="n">
        <v>162.05</v>
      </c>
      <c r="L10" s="13" t="n">
        <v>0.1072</v>
      </c>
      <c r="M10" s="11" t="n">
        <v>990.1900000000001</v>
      </c>
      <c r="N10" s="11" t="n">
        <v>121.06</v>
      </c>
      <c r="O10" t="inlineStr">
        <is>
          <t>20% Markdown</t>
        </is>
      </c>
    </row>
    <row r="11">
      <c r="A11" t="inlineStr">
        <is>
          <t>A-1031</t>
        </is>
      </c>
      <c r="B11" t="inlineStr">
        <is>
          <t>LED Headlight Bulb H11 Pair</t>
        </is>
      </c>
      <c r="C11" t="inlineStr">
        <is>
          <t>Store-Yonkers</t>
        </is>
      </c>
      <c r="D11" s="10" t="n">
        <v>39</v>
      </c>
      <c r="E11" s="11" t="n">
        <v>37.2</v>
      </c>
      <c r="F11" s="11" t="n">
        <v>56.41</v>
      </c>
      <c r="G11" s="13" t="n">
        <v>0.3405</v>
      </c>
      <c r="H11" s="10" t="n">
        <v>385</v>
      </c>
      <c r="I11" t="inlineStr">
        <is>
          <t>Moderate</t>
        </is>
      </c>
      <c r="J11" s="13" t="n">
        <v>0.2</v>
      </c>
      <c r="K11" s="11" t="n">
        <v>45.13</v>
      </c>
      <c r="L11" s="13" t="n">
        <v>0.5558</v>
      </c>
      <c r="M11" s="11" t="n">
        <v>978.25</v>
      </c>
      <c r="N11" s="11" t="n">
        <v>-177.08</v>
      </c>
      <c r="O11" t="inlineStr">
        <is>
          <t>20% Markdown</t>
        </is>
      </c>
    </row>
    <row r="12">
      <c r="A12" t="inlineStr">
        <is>
          <t>BP-1073</t>
        </is>
      </c>
      <c r="B12" t="inlineStr">
        <is>
          <t>Ceramic Brake Pad Set - Front</t>
        </is>
      </c>
      <c r="C12" t="inlineStr">
        <is>
          <t>Store-WhitePlains</t>
        </is>
      </c>
      <c r="D12" s="10" t="n">
        <v>46</v>
      </c>
      <c r="E12" s="11" t="n">
        <v>33.36</v>
      </c>
      <c r="F12" s="11" t="n">
        <v>46.47</v>
      </c>
      <c r="G12" s="13" t="n">
        <v>0.2821</v>
      </c>
      <c r="H12" s="10" t="n">
        <v>377</v>
      </c>
      <c r="I12" t="inlineStr">
        <is>
          <t>Moderate</t>
        </is>
      </c>
      <c r="J12" s="13" t="n">
        <v>0.2</v>
      </c>
      <c r="K12" s="11" t="n">
        <v>37.18</v>
      </c>
      <c r="L12" s="13" t="n">
        <v>0.4847</v>
      </c>
      <c r="M12" s="11" t="n">
        <v>828.97</v>
      </c>
      <c r="N12" s="11" t="n">
        <v>-152.86</v>
      </c>
      <c r="O12" t="inlineStr">
        <is>
          <t>20% Markdown</t>
        </is>
      </c>
    </row>
    <row r="13">
      <c r="A13" t="inlineStr">
        <is>
          <t>F-1105</t>
        </is>
      </c>
      <c r="B13" t="inlineStr">
        <is>
          <t>Synthetic Motor Oil 5W-30 5qt</t>
        </is>
      </c>
      <c r="C13" t="inlineStr">
        <is>
          <t>Store-WhitePlains</t>
        </is>
      </c>
      <c r="D13" s="10" t="n">
        <v>55</v>
      </c>
      <c r="E13" s="11" t="n">
        <v>27.87</v>
      </c>
      <c r="F13" s="11" t="n">
        <v>43.75</v>
      </c>
      <c r="G13" s="13" t="n">
        <v>0.363</v>
      </c>
      <c r="H13" s="10" t="n">
        <v>329</v>
      </c>
      <c r="I13" t="inlineStr">
        <is>
          <t>Moderate</t>
        </is>
      </c>
      <c r="J13" s="13" t="n">
        <v>0.2</v>
      </c>
      <c r="K13" s="11" t="n">
        <v>35</v>
      </c>
      <c r="L13" s="13" t="n">
        <v>0.3154</v>
      </c>
      <c r="M13" s="11" t="n">
        <v>607.14</v>
      </c>
      <c r="N13" s="11" t="n">
        <v>-73.18000000000001</v>
      </c>
      <c r="O13" t="inlineStr">
        <is>
          <t>20% Markdown</t>
        </is>
      </c>
    </row>
    <row r="14">
      <c r="A14" t="inlineStr">
        <is>
          <t>SS-1013</t>
        </is>
      </c>
      <c r="B14" t="inlineStr">
        <is>
          <t>Nitrile Gloves Box/100</t>
        </is>
      </c>
      <c r="C14" t="inlineStr">
        <is>
          <t>DC-NY</t>
        </is>
      </c>
      <c r="D14" s="10" t="n">
        <v>71</v>
      </c>
      <c r="E14" s="11" t="n">
        <v>19.28</v>
      </c>
      <c r="F14" s="11" t="n">
        <v>28.68</v>
      </c>
      <c r="G14" s="13" t="n">
        <v>0.3278</v>
      </c>
      <c r="H14" s="10" t="n">
        <v>280</v>
      </c>
      <c r="I14" t="inlineStr">
        <is>
          <t>Slow</t>
        </is>
      </c>
      <c r="J14" s="13" t="n">
        <v>0.2</v>
      </c>
      <c r="K14" s="11" t="n">
        <v>22.94</v>
      </c>
      <c r="L14" s="13" t="n">
        <v>0.2739</v>
      </c>
      <c r="M14" s="11" t="n">
        <v>446.11</v>
      </c>
      <c r="N14" s="11" t="n">
        <v>-51.56</v>
      </c>
      <c r="O14" t="inlineStr">
        <is>
          <t>20% Markdown</t>
        </is>
      </c>
    </row>
    <row r="15">
      <c r="A15" t="inlineStr">
        <is>
          <t>SS-1106</t>
        </is>
      </c>
      <c r="B15" t="inlineStr">
        <is>
          <t>Nitrile Gloves Box/100</t>
        </is>
      </c>
      <c r="C15" t="inlineStr">
        <is>
          <t>Store-Queens</t>
        </is>
      </c>
      <c r="D15" s="10" t="n">
        <v>78</v>
      </c>
      <c r="E15" s="11" t="n">
        <v>19.66</v>
      </c>
      <c r="F15" s="11" t="n">
        <v>28.24</v>
      </c>
      <c r="G15" s="13" t="n">
        <v>0.3038</v>
      </c>
      <c r="H15" s="10" t="n">
        <v>276</v>
      </c>
      <c r="I15" t="inlineStr">
        <is>
          <t>Slow</t>
        </is>
      </c>
      <c r="J15" s="13" t="n">
        <v>0.2</v>
      </c>
      <c r="K15" s="11" t="n">
        <v>22.59</v>
      </c>
      <c r="L15" s="13" t="n">
        <v>0.2422</v>
      </c>
      <c r="M15" s="11" t="n">
        <v>426.76</v>
      </c>
      <c r="N15" s="11" t="n">
        <v>-46.51</v>
      </c>
      <c r="O15" t="inlineStr">
        <is>
          <t>20% Markdown</t>
        </is>
      </c>
    </row>
    <row r="16">
      <c r="A16" t="inlineStr">
        <is>
          <t>A-1046</t>
        </is>
      </c>
      <c r="B16" t="inlineStr">
        <is>
          <t>Serpentine Belt 6-Rib 68in</t>
        </is>
      </c>
      <c r="C16" t="inlineStr">
        <is>
          <t>Store-Queens</t>
        </is>
      </c>
      <c r="D16" s="10" t="n">
        <v>75</v>
      </c>
      <c r="E16" s="11" t="n">
        <v>23.88</v>
      </c>
      <c r="F16" s="11" t="n">
        <v>33.93</v>
      </c>
      <c r="G16" s="13" t="n">
        <v>0.2962</v>
      </c>
      <c r="H16" s="10" t="n">
        <v>365</v>
      </c>
      <c r="I16" t="inlineStr">
        <is>
          <t>Slow</t>
        </is>
      </c>
      <c r="J16" s="13" t="n">
        <v>0.2</v>
      </c>
      <c r="K16" s="11" t="n">
        <v>27.14</v>
      </c>
      <c r="L16" s="13" t="n">
        <v>0.1971</v>
      </c>
      <c r="M16" s="11" t="n">
        <v>401.2</v>
      </c>
      <c r="N16" s="11" t="n">
        <v>-32.54</v>
      </c>
      <c r="O16" t="inlineStr">
        <is>
          <t>20% Markdown</t>
        </is>
      </c>
    </row>
    <row r="17">
      <c r="A17" t="inlineStr">
        <is>
          <t>F-1061</t>
        </is>
      </c>
      <c r="B17" t="inlineStr">
        <is>
          <t>Synthetic Motor Oil 5W-30 5qt</t>
        </is>
      </c>
      <c r="C17" t="inlineStr">
        <is>
          <t>Store-Stamford</t>
        </is>
      </c>
      <c r="D17" s="10" t="n">
        <v>68</v>
      </c>
      <c r="E17" s="11" t="n">
        <v>29.26</v>
      </c>
      <c r="F17" s="11" t="n">
        <v>46.37</v>
      </c>
      <c r="G17" s="13" t="n">
        <v>0.369</v>
      </c>
      <c r="H17" s="10" t="n">
        <v>402</v>
      </c>
      <c r="I17" t="inlineStr">
        <is>
          <t>Declining</t>
        </is>
      </c>
      <c r="J17" s="13" t="n">
        <v>0.2</v>
      </c>
      <c r="K17" s="11" t="n">
        <v>37.1</v>
      </c>
      <c r="L17" s="13" t="n">
        <v>0.1585</v>
      </c>
      <c r="M17" s="11" t="n">
        <v>399.86</v>
      </c>
      <c r="N17" s="11" t="n">
        <v>4.8</v>
      </c>
      <c r="O17" t="inlineStr">
        <is>
          <t>20% Markdown</t>
        </is>
      </c>
    </row>
    <row r="18">
      <c r="A18" t="inlineStr">
        <is>
          <t>F-1009</t>
        </is>
      </c>
      <c r="B18" t="inlineStr">
        <is>
          <t>Inline Fuel Filter FF-330</t>
        </is>
      </c>
      <c r="C18" t="inlineStr">
        <is>
          <t>DC-NY</t>
        </is>
      </c>
      <c r="D18" s="10" t="n">
        <v>51</v>
      </c>
      <c r="E18" s="11" t="n">
        <v>12.46</v>
      </c>
      <c r="F18" s="11" t="n">
        <v>18.04</v>
      </c>
      <c r="G18" s="13" t="n">
        <v>0.3093</v>
      </c>
      <c r="H18" s="10" t="n">
        <v>288</v>
      </c>
      <c r="I18" t="inlineStr">
        <is>
          <t>Moderate</t>
        </is>
      </c>
      <c r="J18" s="13" t="n">
        <v>0.2</v>
      </c>
      <c r="K18" s="11" t="n">
        <v>14.43</v>
      </c>
      <c r="L18" s="13" t="n">
        <v>0.4755</v>
      </c>
      <c r="M18" s="11" t="n">
        <v>349.93</v>
      </c>
      <c r="N18" s="11" t="n">
        <v>-61.93</v>
      </c>
      <c r="O18" t="inlineStr">
        <is>
          <t>20% Markdown</t>
        </is>
      </c>
    </row>
    <row r="19">
      <c r="A19" t="inlineStr">
        <is>
          <t>F-1082</t>
        </is>
      </c>
      <c r="B19" t="inlineStr">
        <is>
          <t>Extended Life Coolant 1gal</t>
        </is>
      </c>
      <c r="C19" t="inlineStr">
        <is>
          <t>Store-WhitePlains</t>
        </is>
      </c>
      <c r="D19" s="10" t="n">
        <v>35</v>
      </c>
      <c r="E19" s="11" t="n">
        <v>18.52</v>
      </c>
      <c r="F19" s="11" t="n">
        <v>27.25</v>
      </c>
      <c r="G19" s="13" t="n">
        <v>0.3204</v>
      </c>
      <c r="H19" s="10" t="n">
        <v>395</v>
      </c>
      <c r="I19" t="inlineStr">
        <is>
          <t>Slow</t>
        </is>
      </c>
      <c r="J19" s="13" t="n">
        <v>0.2</v>
      </c>
      <c r="K19" s="11" t="n">
        <v>21.8</v>
      </c>
      <c r="L19" s="13" t="n">
        <v>0.215</v>
      </c>
      <c r="M19" s="11" t="n">
        <v>164.04</v>
      </c>
      <c r="N19" s="11" t="n">
        <v>-13.51</v>
      </c>
      <c r="O19" t="inlineStr">
        <is>
          <t>20% Markdown</t>
        </is>
      </c>
    </row>
    <row r="20">
      <c r="A20" t="inlineStr">
        <is>
          <t>F-1033</t>
        </is>
      </c>
      <c r="B20" t="inlineStr">
        <is>
          <t>ATF+4 Transmission Fluid 1qt</t>
        </is>
      </c>
      <c r="C20" t="inlineStr">
        <is>
          <t>Store-Brooklyn</t>
        </is>
      </c>
      <c r="D20" s="10" t="n">
        <v>75</v>
      </c>
      <c r="E20" s="11" t="n">
        <v>9.35</v>
      </c>
      <c r="F20" s="11" t="n">
        <v>13.84</v>
      </c>
      <c r="G20" s="13" t="n">
        <v>0.3244</v>
      </c>
      <c r="H20" s="10" t="n">
        <v>393</v>
      </c>
      <c r="I20" t="inlineStr">
        <is>
          <t>Declining</t>
        </is>
      </c>
      <c r="J20" s="13" t="n">
        <v>0.2</v>
      </c>
      <c r="K20" s="11" t="n">
        <v>11.07</v>
      </c>
      <c r="L20" s="13" t="n">
        <v>0.1641</v>
      </c>
      <c r="M20" s="11" t="n">
        <v>136.24</v>
      </c>
      <c r="N20" s="11" t="n">
        <v>-3.78</v>
      </c>
      <c r="O20" t="inlineStr">
        <is>
          <t>20% Markdown</t>
        </is>
      </c>
    </row>
    <row r="21">
      <c r="A21" t="inlineStr">
        <is>
          <t>SS-1017</t>
        </is>
      </c>
      <c r="B21" t="inlineStr">
        <is>
          <t>Multi-Purpose Grease 14oz</t>
        </is>
      </c>
      <c r="C21" t="inlineStr">
        <is>
          <t>Store-Bronx</t>
        </is>
      </c>
      <c r="D21" s="10" t="n">
        <v>33</v>
      </c>
      <c r="E21" s="11" t="n">
        <v>8.119999999999999</v>
      </c>
      <c r="F21" s="11" t="n">
        <v>12.58</v>
      </c>
      <c r="G21" s="13" t="n">
        <v>0.3545</v>
      </c>
      <c r="H21" s="10" t="n">
        <v>279</v>
      </c>
      <c r="I21" t="inlineStr">
        <is>
          <t>Slow</t>
        </is>
      </c>
      <c r="J21" s="13" t="n">
        <v>0.2</v>
      </c>
      <c r="K21" s="11" t="n">
        <v>10.06</v>
      </c>
      <c r="L21" s="13" t="n">
        <v>0.1981</v>
      </c>
      <c r="M21" s="11" t="n">
        <v>65.77</v>
      </c>
      <c r="N21" s="11" t="n">
        <v>-3.23</v>
      </c>
      <c r="O21" t="inlineStr">
        <is>
          <t>20% Markdown</t>
        </is>
      </c>
    </row>
    <row r="22">
      <c r="A22" t="inlineStr">
        <is>
          <t>T-1019</t>
        </is>
      </c>
      <c r="B22" t="inlineStr">
        <is>
          <t>Impact Wrench 1/2in 20V</t>
        </is>
      </c>
      <c r="C22" t="inlineStr">
        <is>
          <t>Store-Brooklyn</t>
        </is>
      </c>
      <c r="D22" s="10" t="n">
        <v>63</v>
      </c>
      <c r="E22" s="11" t="n">
        <v>202.91</v>
      </c>
      <c r="F22" s="11" t="n">
        <v>301.09</v>
      </c>
      <c r="G22" s="13" t="n">
        <v>0.3261</v>
      </c>
      <c r="H22" s="10" t="n">
        <v>212</v>
      </c>
      <c r="I22" t="inlineStr">
        <is>
          <t>Moderate</t>
        </is>
      </c>
      <c r="J22" s="13" t="n">
        <v>0.1</v>
      </c>
      <c r="K22" s="11" t="n">
        <v>270.98</v>
      </c>
      <c r="L22" s="13" t="n">
        <v>0.3818</v>
      </c>
      <c r="M22" s="11" t="n">
        <v>6517.99</v>
      </c>
      <c r="N22" s="11" t="n">
        <v>-445.91</v>
      </c>
      <c r="O22" t="inlineStr">
        <is>
          <t>10% Markdown</t>
        </is>
      </c>
    </row>
    <row r="23">
      <c r="A23" t="inlineStr">
        <is>
          <t>T-1023</t>
        </is>
      </c>
      <c r="B23" t="inlineStr">
        <is>
          <t>Impact Wrench 1/2in 20V</t>
        </is>
      </c>
      <c r="C23" t="inlineStr">
        <is>
          <t>DC-PA</t>
        </is>
      </c>
      <c r="D23" s="10" t="n">
        <v>61</v>
      </c>
      <c r="E23" s="11" t="n">
        <v>206.1</v>
      </c>
      <c r="F23" s="11" t="n">
        <v>325.13</v>
      </c>
      <c r="G23" s="13" t="n">
        <v>0.3661</v>
      </c>
      <c r="H23" s="10" t="n">
        <v>245</v>
      </c>
      <c r="I23" t="inlineStr">
        <is>
          <t>Moderate</t>
        </is>
      </c>
      <c r="J23" s="13" t="n">
        <v>0.1</v>
      </c>
      <c r="K23" s="11" t="n">
        <v>292.62</v>
      </c>
      <c r="L23" s="13" t="n">
        <v>0.2825</v>
      </c>
      <c r="M23" s="11" t="n">
        <v>5042.57</v>
      </c>
      <c r="N23" s="11" t="n">
        <v>-233.49</v>
      </c>
      <c r="O23" t="inlineStr">
        <is>
          <t>10% Markdown</t>
        </is>
      </c>
    </row>
    <row r="24">
      <c r="A24" t="inlineStr">
        <is>
          <t>B-1055</t>
        </is>
      </c>
      <c r="B24" t="inlineStr">
        <is>
          <t>Deep Cycle Marine 27DC</t>
        </is>
      </c>
      <c r="C24" t="inlineStr">
        <is>
          <t>Store-Brooklyn</t>
        </is>
      </c>
      <c r="D24" s="10" t="n">
        <v>79</v>
      </c>
      <c r="E24" s="11" t="n">
        <v>147.53</v>
      </c>
      <c r="F24" s="11" t="n">
        <v>210.96</v>
      </c>
      <c r="G24" s="13" t="n">
        <v>0.3007</v>
      </c>
      <c r="H24" s="10" t="n">
        <v>197</v>
      </c>
      <c r="I24" t="inlineStr">
        <is>
          <t>Moderate</t>
        </is>
      </c>
      <c r="J24" s="13" t="n">
        <v>0.1</v>
      </c>
      <c r="K24" s="11" t="n">
        <v>189.86</v>
      </c>
      <c r="L24" s="13" t="n">
        <v>0.2997</v>
      </c>
      <c r="M24" s="11" t="n">
        <v>4495.18</v>
      </c>
      <c r="N24" s="11" t="n">
        <v>-274.08</v>
      </c>
      <c r="O24" t="inlineStr">
        <is>
          <t>10% Markdown</t>
        </is>
      </c>
    </row>
    <row r="25">
      <c r="A25" t="inlineStr">
        <is>
          <t>B-1098</t>
        </is>
      </c>
      <c r="B25" t="inlineStr">
        <is>
          <t>Mavis PowerStart 24F</t>
        </is>
      </c>
      <c r="C25" t="inlineStr">
        <is>
          <t>DC-PA</t>
        </is>
      </c>
      <c r="D25" s="10" t="n">
        <v>79</v>
      </c>
      <c r="E25" s="11" t="n">
        <v>122.03</v>
      </c>
      <c r="F25" s="11" t="n">
        <v>192.67</v>
      </c>
      <c r="G25" s="13" t="n">
        <v>0.3666</v>
      </c>
      <c r="H25" s="10" t="n">
        <v>269</v>
      </c>
      <c r="I25" t="inlineStr">
        <is>
          <t>Slow</t>
        </is>
      </c>
      <c r="J25" s="13" t="n">
        <v>0.1</v>
      </c>
      <c r="K25" s="11" t="n">
        <v>173.4</v>
      </c>
      <c r="L25" s="13" t="n">
        <v>0.2389</v>
      </c>
      <c r="M25" s="11" t="n">
        <v>3272.6</v>
      </c>
      <c r="N25" s="11" t="n">
        <v>-112.56</v>
      </c>
      <c r="O25" t="inlineStr">
        <is>
          <t>10% Markdown</t>
        </is>
      </c>
    </row>
    <row r="26">
      <c r="A26" t="inlineStr">
        <is>
          <t>B-1087</t>
        </is>
      </c>
      <c r="B26" t="inlineStr">
        <is>
          <t>Deep Cycle Marine 27DC</t>
        </is>
      </c>
      <c r="C26" t="inlineStr">
        <is>
          <t>Store-Manhattan</t>
        </is>
      </c>
      <c r="D26" s="10" t="n">
        <v>38</v>
      </c>
      <c r="E26" s="11" t="n">
        <v>145.69</v>
      </c>
      <c r="F26" s="11" t="n">
        <v>228.88</v>
      </c>
      <c r="G26" s="13" t="n">
        <v>0.3635</v>
      </c>
      <c r="H26" s="10" t="n">
        <v>264</v>
      </c>
      <c r="I26" t="inlineStr">
        <is>
          <t>Moderate</t>
        </is>
      </c>
      <c r="J26" s="13" t="n">
        <v>0.1</v>
      </c>
      <c r="K26" s="11" t="n">
        <v>205.99</v>
      </c>
      <c r="L26" s="13" t="n">
        <v>0.3664</v>
      </c>
      <c r="M26" s="11" t="n">
        <v>2868.04</v>
      </c>
      <c r="N26" s="11" t="n">
        <v>-176.45</v>
      </c>
      <c r="O26" t="inlineStr">
        <is>
          <t>10% Markdown</t>
        </is>
      </c>
    </row>
    <row r="27">
      <c r="A27" t="inlineStr">
        <is>
          <t>T-1003</t>
        </is>
      </c>
      <c r="B27" t="inlineStr">
        <is>
          <t>Mavis Fleet HD 225/75R16</t>
        </is>
      </c>
      <c r="C27" t="inlineStr">
        <is>
          <t>Store-Bronx</t>
        </is>
      </c>
      <c r="D27" s="10" t="n">
        <v>85</v>
      </c>
      <c r="E27" s="11" t="n">
        <v>148.75</v>
      </c>
      <c r="F27" s="11" t="n">
        <v>234.78</v>
      </c>
      <c r="G27" s="13" t="n">
        <v>0.3664</v>
      </c>
      <c r="H27" s="10" t="n">
        <v>245</v>
      </c>
      <c r="I27" t="inlineStr">
        <is>
          <t>Declining</t>
        </is>
      </c>
      <c r="J27" s="13" t="n">
        <v>0.1</v>
      </c>
      <c r="K27" s="11" t="n">
        <v>211.3</v>
      </c>
      <c r="L27" s="13" t="n">
        <v>0.1109</v>
      </c>
      <c r="M27" s="11" t="n">
        <v>1991.82</v>
      </c>
      <c r="N27" s="11" t="n">
        <v>107.73</v>
      </c>
      <c r="O27" t="inlineStr">
        <is>
          <t>10% Markdown</t>
        </is>
      </c>
    </row>
    <row r="28">
      <c r="A28" t="inlineStr">
        <is>
          <t>F-1104</t>
        </is>
      </c>
      <c r="B28" t="inlineStr">
        <is>
          <t>Synthetic Motor Oil 5W-30 5qt</t>
        </is>
      </c>
      <c r="C28" t="inlineStr">
        <is>
          <t>Store-Manhattan</t>
        </is>
      </c>
      <c r="D28" s="10" t="n">
        <v>77</v>
      </c>
      <c r="E28" s="11" t="n">
        <v>29.75</v>
      </c>
      <c r="F28" s="11" t="n">
        <v>48.22</v>
      </c>
      <c r="G28" s="13" t="n">
        <v>0.383</v>
      </c>
      <c r="H28" s="10" t="n">
        <v>262</v>
      </c>
      <c r="I28" t="inlineStr">
        <is>
          <t>Moderate</t>
        </is>
      </c>
      <c r="J28" s="13" t="n">
        <v>0.1</v>
      </c>
      <c r="K28" s="11" t="n">
        <v>43.4</v>
      </c>
      <c r="L28" s="13" t="n">
        <v>0.3254</v>
      </c>
      <c r="M28" s="11" t="n">
        <v>1087.42</v>
      </c>
      <c r="N28" s="11" t="n">
        <v>-56.77</v>
      </c>
      <c r="O28" t="inlineStr">
        <is>
          <t>10% Markdown</t>
        </is>
      </c>
    </row>
    <row r="29">
      <c r="A29" t="inlineStr">
        <is>
          <t>BP-1020</t>
        </is>
      </c>
      <c r="B29" t="inlineStr">
        <is>
          <t>Vented Brake Rotor 11.8in</t>
        </is>
      </c>
      <c r="C29" t="inlineStr">
        <is>
          <t>Store-Queens</t>
        </is>
      </c>
      <c r="D29" s="10" t="n">
        <v>47</v>
      </c>
      <c r="E29" s="11" t="n">
        <v>46.88</v>
      </c>
      <c r="F29" s="11" t="n">
        <v>64.95</v>
      </c>
      <c r="G29" s="13" t="n">
        <v>0.2782</v>
      </c>
      <c r="H29" s="10" t="n">
        <v>266</v>
      </c>
      <c r="I29" t="inlineStr">
        <is>
          <t>Moderate</t>
        </is>
      </c>
      <c r="J29" s="13" t="n">
        <v>0.1</v>
      </c>
      <c r="K29" s="11" t="n">
        <v>58.46</v>
      </c>
      <c r="L29" s="13" t="n">
        <v>0.3538</v>
      </c>
      <c r="M29" s="11" t="n">
        <v>972.11</v>
      </c>
      <c r="N29" s="11" t="n">
        <v>-69.7</v>
      </c>
      <c r="O29" t="inlineStr">
        <is>
          <t>10% Markdown</t>
        </is>
      </c>
    </row>
    <row r="30">
      <c r="A30" t="inlineStr">
        <is>
          <t>A-1108</t>
        </is>
      </c>
      <c r="B30" t="inlineStr">
        <is>
          <t>LED Headlight Bulb H11 Pair</t>
        </is>
      </c>
      <c r="C30" t="inlineStr">
        <is>
          <t>Store-Brooklyn</t>
        </is>
      </c>
      <c r="D30" s="10" t="n">
        <v>84</v>
      </c>
      <c r="E30" s="11" t="n">
        <v>38.66</v>
      </c>
      <c r="F30" s="11" t="n">
        <v>61.4</v>
      </c>
      <c r="G30" s="13" t="n">
        <v>0.3704</v>
      </c>
      <c r="H30" s="10" t="n">
        <v>197</v>
      </c>
      <c r="I30" t="inlineStr">
        <is>
          <t>Slow</t>
        </is>
      </c>
      <c r="J30" s="13" t="n">
        <v>0.1</v>
      </c>
      <c r="K30" s="11" t="n">
        <v>55.26</v>
      </c>
      <c r="L30" s="13" t="n">
        <v>0.1608</v>
      </c>
      <c r="M30" s="11" t="n">
        <v>746.41</v>
      </c>
      <c r="N30" s="11" t="n">
        <v>3.02</v>
      </c>
      <c r="O30" t="inlineStr">
        <is>
          <t>10% Markdown</t>
        </is>
      </c>
    </row>
    <row r="31">
      <c r="A31" t="inlineStr">
        <is>
          <t>F-1060</t>
        </is>
      </c>
      <c r="B31" t="inlineStr">
        <is>
          <t>Synthetic Motor Oil 5W-30 5qt</t>
        </is>
      </c>
      <c r="C31" t="inlineStr">
        <is>
          <t>Store-Newark</t>
        </is>
      </c>
      <c r="D31" s="10" t="n">
        <v>68</v>
      </c>
      <c r="E31" s="11" t="n">
        <v>29.64</v>
      </c>
      <c r="F31" s="11" t="n">
        <v>40.77</v>
      </c>
      <c r="G31" s="13" t="n">
        <v>0.273</v>
      </c>
      <c r="H31" s="10" t="n">
        <v>259</v>
      </c>
      <c r="I31" t="inlineStr">
        <is>
          <t>Moderate</t>
        </is>
      </c>
      <c r="J31" s="13" t="n">
        <v>0.1</v>
      </c>
      <c r="K31" s="11" t="n">
        <v>36.69</v>
      </c>
      <c r="L31" s="13" t="n">
        <v>0.2894</v>
      </c>
      <c r="M31" s="11" t="n">
        <v>722.03</v>
      </c>
      <c r="N31" s="11" t="n">
        <v>-46.23</v>
      </c>
      <c r="O31" t="inlineStr">
        <is>
          <t>10% Markdown</t>
        </is>
      </c>
    </row>
    <row r="32">
      <c r="A32" t="inlineStr">
        <is>
          <t>T-1015</t>
        </is>
      </c>
      <c r="B32" t="inlineStr">
        <is>
          <t>Mavis SnowTrack 205/55R16</t>
        </is>
      </c>
      <c r="C32" t="inlineStr">
        <is>
          <t>Store-Yonkers</t>
        </is>
      </c>
      <c r="D32" s="10" t="n">
        <v>47</v>
      </c>
      <c r="E32" s="11" t="n">
        <v>96.81</v>
      </c>
      <c r="F32" s="11" t="n">
        <v>131.59</v>
      </c>
      <c r="G32" s="13" t="n">
        <v>0.2643</v>
      </c>
      <c r="H32" s="10" t="n">
        <v>234</v>
      </c>
      <c r="I32" t="inlineStr">
        <is>
          <t>Declining</t>
        </is>
      </c>
      <c r="J32" s="13" t="n">
        <v>0.1</v>
      </c>
      <c r="K32" s="11" t="n">
        <v>118.43</v>
      </c>
      <c r="L32" s="13" t="n">
        <v>0.105</v>
      </c>
      <c r="M32" s="11" t="n">
        <v>584.45</v>
      </c>
      <c r="N32" s="11" t="n">
        <v>8.619999999999999</v>
      </c>
      <c r="O32" t="inlineStr">
        <is>
          <t>10% Markdown</t>
        </is>
      </c>
    </row>
    <row r="33">
      <c r="A33" t="inlineStr">
        <is>
          <t>BP-1093</t>
        </is>
      </c>
      <c r="B33" t="inlineStr">
        <is>
          <t>Ceramic Brake Pad Set - Front</t>
        </is>
      </c>
      <c r="C33" t="inlineStr">
        <is>
          <t>Store-WhitePlains</t>
        </is>
      </c>
      <c r="D33" s="10" t="n">
        <v>72</v>
      </c>
      <c r="E33" s="11" t="n">
        <v>33.25</v>
      </c>
      <c r="F33" s="11" t="n">
        <v>50.13</v>
      </c>
      <c r="G33" s="13" t="n">
        <v>0.3367</v>
      </c>
      <c r="H33" s="10" t="n">
        <v>270</v>
      </c>
      <c r="I33" t="inlineStr">
        <is>
          <t>Slow</t>
        </is>
      </c>
      <c r="J33" s="13" t="n">
        <v>0.1</v>
      </c>
      <c r="K33" s="11" t="n">
        <v>45.12</v>
      </c>
      <c r="L33" s="13" t="n">
        <v>0.1775</v>
      </c>
      <c r="M33" s="11" t="n">
        <v>576.63</v>
      </c>
      <c r="N33" s="11" t="n">
        <v>-9.34</v>
      </c>
      <c r="O33" t="inlineStr">
        <is>
          <t>10% Markdown</t>
        </is>
      </c>
    </row>
    <row r="34">
      <c r="A34" t="inlineStr">
        <is>
          <t>F-1088</t>
        </is>
      </c>
      <c r="B34" t="inlineStr">
        <is>
          <t>Extended Life Coolant 1gal</t>
        </is>
      </c>
      <c r="C34" t="inlineStr">
        <is>
          <t>Store-Newark</t>
        </is>
      </c>
      <c r="D34" s="10" t="n">
        <v>73</v>
      </c>
      <c r="E34" s="11" t="n">
        <v>19.05</v>
      </c>
      <c r="F34" s="11" t="n">
        <v>27.51</v>
      </c>
      <c r="G34" s="13" t="n">
        <v>0.3075</v>
      </c>
      <c r="H34" s="10" t="n">
        <v>214</v>
      </c>
      <c r="I34" t="inlineStr">
        <is>
          <t>Moderate</t>
        </is>
      </c>
      <c r="J34" s="13" t="n">
        <v>0.1</v>
      </c>
      <c r="K34" s="11" t="n">
        <v>24.76</v>
      </c>
      <c r="L34" s="13" t="n">
        <v>0.3001</v>
      </c>
      <c r="M34" s="11" t="n">
        <v>542.42</v>
      </c>
      <c r="N34" s="11" t="n">
        <v>-32.45</v>
      </c>
      <c r="O34" t="inlineStr">
        <is>
          <t>10% Markdown</t>
        </is>
      </c>
    </row>
    <row r="35">
      <c r="A35" t="inlineStr">
        <is>
          <t>F-1077</t>
        </is>
      </c>
      <c r="B35" t="inlineStr">
        <is>
          <t>Cabin Air Filter CF-1180</t>
        </is>
      </c>
      <c r="C35" t="inlineStr">
        <is>
          <t>DC-PA</t>
        </is>
      </c>
      <c r="D35" s="10" t="n">
        <v>43</v>
      </c>
      <c r="E35" s="11" t="n">
        <v>16.71</v>
      </c>
      <c r="F35" s="11" t="n">
        <v>26.83</v>
      </c>
      <c r="G35" s="13" t="n">
        <v>0.3772</v>
      </c>
      <c r="H35" s="10" t="n">
        <v>214</v>
      </c>
      <c r="I35" t="inlineStr">
        <is>
          <t>Moderate</t>
        </is>
      </c>
      <c r="J35" s="13" t="n">
        <v>0.1</v>
      </c>
      <c r="K35" s="11" t="n">
        <v>24.15</v>
      </c>
      <c r="L35" s="13" t="n">
        <v>0.3401</v>
      </c>
      <c r="M35" s="11" t="n">
        <v>353.18</v>
      </c>
      <c r="N35" s="11" t="n">
        <v>-19.61</v>
      </c>
      <c r="O35" t="inlineStr">
        <is>
          <t>10% Markdown</t>
        </is>
      </c>
    </row>
    <row r="36">
      <c r="A36" t="inlineStr">
        <is>
          <t>A-1068</t>
        </is>
      </c>
      <c r="B36" t="inlineStr">
        <is>
          <t>LED Headlight Bulb H11 Pair</t>
        </is>
      </c>
      <c r="C36" t="inlineStr">
        <is>
          <t>Store-Stamford</t>
        </is>
      </c>
      <c r="D36" s="10" t="n">
        <v>52</v>
      </c>
      <c r="E36" s="11" t="n">
        <v>40.9</v>
      </c>
      <c r="F36" s="11" t="n">
        <v>64.02</v>
      </c>
      <c r="G36" s="13" t="n">
        <v>0.3611</v>
      </c>
      <c r="H36" s="10" t="n">
        <v>203</v>
      </c>
      <c r="I36" t="inlineStr">
        <is>
          <t>Declining</t>
        </is>
      </c>
      <c r="J36" s="13" t="n">
        <v>0.1</v>
      </c>
      <c r="K36" s="11" t="n">
        <v>57.62</v>
      </c>
      <c r="L36" s="13" t="n">
        <v>0.1164</v>
      </c>
      <c r="M36" s="11" t="n">
        <v>348.76</v>
      </c>
      <c r="N36" s="11" t="n">
        <v>15.36</v>
      </c>
      <c r="O36" t="inlineStr">
        <is>
          <t>10% Markdown</t>
        </is>
      </c>
    </row>
    <row r="37">
      <c r="A37" t="inlineStr">
        <is>
          <t>F-1099</t>
        </is>
      </c>
      <c r="B37" t="inlineStr">
        <is>
          <t>ATF+4 Transmission Fluid 1qt</t>
        </is>
      </c>
      <c r="C37" t="inlineStr">
        <is>
          <t>DC-NY</t>
        </is>
      </c>
      <c r="D37" s="10" t="n">
        <v>57</v>
      </c>
      <c r="E37" s="11" t="n">
        <v>10.14</v>
      </c>
      <c r="F37" s="11" t="n">
        <v>15.16</v>
      </c>
      <c r="G37" s="13" t="n">
        <v>0.3311</v>
      </c>
      <c r="H37" s="10" t="n">
        <v>228</v>
      </c>
      <c r="I37" t="inlineStr">
        <is>
          <t>Moderate</t>
        </is>
      </c>
      <c r="J37" s="13" t="n">
        <v>0.1</v>
      </c>
      <c r="K37" s="11" t="n">
        <v>13.64</v>
      </c>
      <c r="L37" s="13" t="n">
        <v>0.3898</v>
      </c>
      <c r="M37" s="11" t="n">
        <v>303.06</v>
      </c>
      <c r="N37" s="11" t="n">
        <v>-20.9</v>
      </c>
      <c r="O37" t="inlineStr">
        <is>
          <t>10% Markdown</t>
        </is>
      </c>
    </row>
    <row r="38">
      <c r="A38" t="inlineStr">
        <is>
          <t>A-1042</t>
        </is>
      </c>
      <c r="B38" t="inlineStr">
        <is>
          <t>LED Headlight Bulb H11 Pair</t>
        </is>
      </c>
      <c r="C38" t="inlineStr">
        <is>
          <t>Store-Stamford</t>
        </is>
      </c>
      <c r="D38" s="10" t="n">
        <v>38</v>
      </c>
      <c r="E38" s="11" t="n">
        <v>37.46</v>
      </c>
      <c r="F38" s="11" t="n">
        <v>52.15</v>
      </c>
      <c r="G38" s="13" t="n">
        <v>0.2817</v>
      </c>
      <c r="H38" s="10" t="n">
        <v>235</v>
      </c>
      <c r="I38" t="inlineStr">
        <is>
          <t>Slow</t>
        </is>
      </c>
      <c r="J38" s="13" t="n">
        <v>0.1</v>
      </c>
      <c r="K38" s="11" t="n">
        <v>46.94</v>
      </c>
      <c r="L38" s="13" t="n">
        <v>0.1613</v>
      </c>
      <c r="M38" s="11" t="n">
        <v>287.71</v>
      </c>
      <c r="N38" s="11" t="n">
        <v>-6.81</v>
      </c>
      <c r="O38" t="inlineStr">
        <is>
          <t>10% Markdown</t>
        </is>
      </c>
    </row>
    <row r="39">
      <c r="A39" t="inlineStr">
        <is>
          <t>BP-1005</t>
        </is>
      </c>
      <c r="B39" t="inlineStr">
        <is>
          <t>Vented Brake Rotor 11.8in</t>
        </is>
      </c>
      <c r="C39" t="inlineStr">
        <is>
          <t>Store-Brooklyn</t>
        </is>
      </c>
      <c r="D39" s="10" t="n">
        <v>28</v>
      </c>
      <c r="E39" s="11" t="n">
        <v>48.27</v>
      </c>
      <c r="F39" s="11" t="n">
        <v>78.58</v>
      </c>
      <c r="G39" s="13" t="n">
        <v>0.3857</v>
      </c>
      <c r="H39" s="10" t="n">
        <v>210</v>
      </c>
      <c r="I39" t="inlineStr">
        <is>
          <t>Declining</t>
        </is>
      </c>
      <c r="J39" s="13" t="n">
        <v>0.1</v>
      </c>
      <c r="K39" s="11" t="n">
        <v>70.72</v>
      </c>
      <c r="L39" s="13" t="n">
        <v>0.1117</v>
      </c>
      <c r="M39" s="11" t="n">
        <v>221.18</v>
      </c>
      <c r="N39" s="11" t="n">
        <v>13.61</v>
      </c>
      <c r="O39" t="inlineStr">
        <is>
          <t>10% Markdown</t>
        </is>
      </c>
    </row>
    <row r="40">
      <c r="A40" t="inlineStr">
        <is>
          <t>F-1101</t>
        </is>
      </c>
      <c r="B40" t="inlineStr">
        <is>
          <t>Premium Oil Filter PF-2234</t>
        </is>
      </c>
      <c r="C40" t="inlineStr">
        <is>
          <t>Store-Bronx</t>
        </is>
      </c>
      <c r="D40" s="10" t="n">
        <v>66</v>
      </c>
      <c r="E40" s="11" t="n">
        <v>8.66</v>
      </c>
      <c r="F40" s="11" t="n">
        <v>14.07</v>
      </c>
      <c r="G40" s="13" t="n">
        <v>0.3845</v>
      </c>
      <c r="H40" s="10" t="n">
        <v>225</v>
      </c>
      <c r="I40" t="inlineStr">
        <is>
          <t>Moderate</t>
        </is>
      </c>
      <c r="J40" s="13" t="n">
        <v>0.1</v>
      </c>
      <c r="K40" s="11" t="n">
        <v>12.66</v>
      </c>
      <c r="L40" s="13" t="n">
        <v>0.2593</v>
      </c>
      <c r="M40" s="11" t="n">
        <v>216.66</v>
      </c>
      <c r="N40" s="11" t="n">
        <v>-8.06</v>
      </c>
      <c r="O40" t="inlineStr">
        <is>
          <t>10% Markdown</t>
        </is>
      </c>
    </row>
    <row r="41">
      <c r="A41" t="inlineStr">
        <is>
          <t>BP-1112</t>
        </is>
      </c>
      <c r="B41" t="inlineStr">
        <is>
          <t>Brake Hardware Kit</t>
        </is>
      </c>
      <c r="C41" t="inlineStr">
        <is>
          <t>Store-Newark</t>
        </is>
      </c>
      <c r="D41" s="10" t="n">
        <v>59</v>
      </c>
      <c r="E41" s="11" t="n">
        <v>11.82</v>
      </c>
      <c r="F41" s="11" t="n">
        <v>17.38</v>
      </c>
      <c r="G41" s="13" t="n">
        <v>0.3199</v>
      </c>
      <c r="H41" s="10" t="n">
        <v>218</v>
      </c>
      <c r="I41" t="inlineStr">
        <is>
          <t>Slow</t>
        </is>
      </c>
      <c r="J41" s="13" t="n">
        <v>0.1</v>
      </c>
      <c r="K41" s="11" t="n">
        <v>15.64</v>
      </c>
      <c r="L41" s="13" t="n">
        <v>0.1774</v>
      </c>
      <c r="M41" s="11" t="n">
        <v>163.7</v>
      </c>
      <c r="N41" s="11" t="n">
        <v>-3.45</v>
      </c>
      <c r="O41" t="inlineStr">
        <is>
          <t>10% Markdown</t>
        </is>
      </c>
    </row>
    <row r="42">
      <c r="A42" t="inlineStr">
        <is>
          <t>F-1024</t>
        </is>
      </c>
      <c r="B42" t="inlineStr">
        <is>
          <t>Inline Fuel Filter FF-330</t>
        </is>
      </c>
      <c r="C42" t="inlineStr">
        <is>
          <t>Store-WhitePlains</t>
        </is>
      </c>
      <c r="D42" s="10" t="n">
        <v>24</v>
      </c>
      <c r="E42" s="11" t="n">
        <v>12.08</v>
      </c>
      <c r="F42" s="11" t="n">
        <v>16.61</v>
      </c>
      <c r="G42" s="13" t="n">
        <v>0.2727</v>
      </c>
      <c r="H42" s="10" t="n">
        <v>265</v>
      </c>
      <c r="I42" t="inlineStr">
        <is>
          <t>Slow</t>
        </is>
      </c>
      <c r="J42" s="13" t="n">
        <v>0.1</v>
      </c>
      <c r="K42" s="11" t="n">
        <v>14.95</v>
      </c>
      <c r="L42" s="13" t="n">
        <v>0.1879</v>
      </c>
      <c r="M42" s="11" t="n">
        <v>67.42</v>
      </c>
      <c r="N42" s="11" t="n">
        <v>-2.59</v>
      </c>
      <c r="O42" t="inlineStr">
        <is>
          <t>10% Markdown</t>
        </is>
      </c>
    </row>
    <row r="43">
      <c r="A43" t="inlineStr">
        <is>
          <t>T-1065</t>
        </is>
      </c>
      <c r="B43" t="inlineStr">
        <is>
          <t>Hydraulic Floor Jack 3-Ton</t>
        </is>
      </c>
      <c r="C43" t="inlineStr">
        <is>
          <t>DC-NY</t>
        </is>
      </c>
      <c r="D43" s="10" t="n">
        <v>60</v>
      </c>
      <c r="E43" s="11" t="n">
        <v>167.83</v>
      </c>
      <c r="F43" s="11" t="n">
        <v>243.37</v>
      </c>
      <c r="G43" s="13" t="n">
        <v>0.3104</v>
      </c>
      <c r="H43" s="10" t="n">
        <v>178</v>
      </c>
      <c r="I43" t="inlineStr">
        <is>
          <t>Moderate</t>
        </is>
      </c>
      <c r="J43" s="13" t="n">
        <v>0</v>
      </c>
      <c r="K43" s="11" t="n">
        <v>243.37</v>
      </c>
      <c r="L43" s="13" t="n">
        <v>0.3478</v>
      </c>
      <c r="M43" s="11" t="n">
        <v>5078.65</v>
      </c>
      <c r="N43" s="11" t="n">
        <v>0</v>
      </c>
      <c r="O43" t="inlineStr">
        <is>
          <t>Transfer First</t>
        </is>
      </c>
    </row>
    <row r="44">
      <c r="A44" t="inlineStr">
        <is>
          <t>T-1053</t>
        </is>
      </c>
      <c r="B44" t="inlineStr">
        <is>
          <t>Mavis Fleet HD 225/75R16</t>
        </is>
      </c>
      <c r="C44" t="inlineStr">
        <is>
          <t>DC-NY</t>
        </is>
      </c>
      <c r="D44" s="10" t="n">
        <v>62</v>
      </c>
      <c r="E44" s="11" t="n">
        <v>147.72</v>
      </c>
      <c r="F44" s="11" t="n">
        <v>242.83</v>
      </c>
      <c r="G44" s="13" t="n">
        <v>0.3917</v>
      </c>
      <c r="H44" s="10" t="n">
        <v>46</v>
      </c>
      <c r="I44" t="inlineStr">
        <is>
          <t>Moderate</t>
        </is>
      </c>
      <c r="J44" s="13" t="n">
        <v>0</v>
      </c>
      <c r="K44" s="11" t="n">
        <v>242.83</v>
      </c>
      <c r="L44" s="13" t="n">
        <v>0.3187</v>
      </c>
      <c r="M44" s="11" t="n">
        <v>4798.18</v>
      </c>
      <c r="N44" s="11" t="n">
        <v>0</v>
      </c>
      <c r="O44" t="inlineStr">
        <is>
          <t>Transfer First</t>
        </is>
      </c>
    </row>
    <row r="45">
      <c r="A45" t="inlineStr">
        <is>
          <t>T-1066</t>
        </is>
      </c>
      <c r="B45" t="inlineStr">
        <is>
          <t>Hydraulic Floor Jack 3-Ton</t>
        </is>
      </c>
      <c r="C45" t="inlineStr">
        <is>
          <t>Store-Newark</t>
        </is>
      </c>
      <c r="D45" s="10" t="n">
        <v>57</v>
      </c>
      <c r="E45" s="11" t="n">
        <v>161.94</v>
      </c>
      <c r="F45" s="11" t="n">
        <v>226.28</v>
      </c>
      <c r="G45" s="13" t="n">
        <v>0.2843</v>
      </c>
      <c r="H45" s="10" t="n">
        <v>117</v>
      </c>
      <c r="I45" t="inlineStr">
        <is>
          <t>Moderate</t>
        </is>
      </c>
      <c r="J45" s="13" t="n">
        <v>0</v>
      </c>
      <c r="K45" s="11" t="n">
        <v>226.28</v>
      </c>
      <c r="L45" s="13" t="n">
        <v>0.3214</v>
      </c>
      <c r="M45" s="11" t="n">
        <v>4145.4</v>
      </c>
      <c r="N45" s="11" t="n">
        <v>0</v>
      </c>
      <c r="O45" t="inlineStr">
        <is>
          <t>Transfer First</t>
        </is>
      </c>
    </row>
    <row r="46">
      <c r="A46" t="inlineStr">
        <is>
          <t>BP-1048</t>
        </is>
      </c>
      <c r="B46" t="inlineStr">
        <is>
          <t>Reman Brake Caliper - Rear</t>
        </is>
      </c>
      <c r="C46" t="inlineStr">
        <is>
          <t>Store-Newark</t>
        </is>
      </c>
      <c r="D46" s="10" t="n">
        <v>65</v>
      </c>
      <c r="E46" s="11" t="n">
        <v>70.08</v>
      </c>
      <c r="F46" s="11" t="n">
        <v>100.59</v>
      </c>
      <c r="G46" s="13" t="n">
        <v>0.3033</v>
      </c>
      <c r="H46" s="10" t="n">
        <v>64</v>
      </c>
      <c r="I46" t="inlineStr">
        <is>
          <t>Moderate</t>
        </is>
      </c>
      <c r="J46" s="13" t="n">
        <v>0</v>
      </c>
      <c r="K46" s="11" t="n">
        <v>100.59</v>
      </c>
      <c r="L46" s="13" t="n">
        <v>0.3299</v>
      </c>
      <c r="M46" s="11" t="n">
        <v>2157</v>
      </c>
      <c r="N46" s="11" t="n">
        <v>0</v>
      </c>
      <c r="O46" t="inlineStr">
        <is>
          <t>Transfer First</t>
        </is>
      </c>
    </row>
    <row r="47">
      <c r="A47" t="inlineStr">
        <is>
          <t>A-1047</t>
        </is>
      </c>
      <c r="B47" t="inlineStr">
        <is>
          <t>All-Weather Floor Mat Set</t>
        </is>
      </c>
      <c r="C47" t="inlineStr">
        <is>
          <t>Store-Yonkers</t>
        </is>
      </c>
      <c r="D47" s="10" t="n">
        <v>88</v>
      </c>
      <c r="E47" s="11" t="n">
        <v>50.46</v>
      </c>
      <c r="F47" s="11" t="n">
        <v>70.33</v>
      </c>
      <c r="G47" s="13" t="n">
        <v>0.2825</v>
      </c>
      <c r="H47" s="10" t="n">
        <v>48</v>
      </c>
      <c r="I47" t="inlineStr">
        <is>
          <t>Moderate</t>
        </is>
      </c>
      <c r="J47" s="13" t="n">
        <v>0</v>
      </c>
      <c r="K47" s="11" t="n">
        <v>70.33</v>
      </c>
      <c r="L47" s="13" t="n">
        <v>0.2542</v>
      </c>
      <c r="M47" s="11" t="n">
        <v>1573.25</v>
      </c>
      <c r="N47" s="11" t="n">
        <v>0</v>
      </c>
      <c r="O47" t="inlineStr">
        <is>
          <t>Transfer First</t>
        </is>
      </c>
    </row>
    <row r="48">
      <c r="A48" t="inlineStr">
        <is>
          <t>T-1096</t>
        </is>
      </c>
      <c r="B48" t="inlineStr">
        <is>
          <t>Mavis Sport Grip 245/40R18</t>
        </is>
      </c>
      <c r="C48" t="inlineStr">
        <is>
          <t>Store-Queens</t>
        </is>
      </c>
      <c r="D48" s="10" t="n">
        <v>71</v>
      </c>
      <c r="E48" s="11" t="n">
        <v>129.57</v>
      </c>
      <c r="F48" s="11" t="n">
        <v>176.66</v>
      </c>
      <c r="G48" s="13" t="n">
        <v>0.2666</v>
      </c>
      <c r="H48" s="10" t="n">
        <v>67</v>
      </c>
      <c r="I48" t="inlineStr">
        <is>
          <t>Slow</t>
        </is>
      </c>
      <c r="J48" s="13" t="n">
        <v>0</v>
      </c>
      <c r="K48" s="11" t="n">
        <v>176.66</v>
      </c>
      <c r="L48" s="13" t="n">
        <v>0.1235</v>
      </c>
      <c r="M48" s="11" t="n">
        <v>1549.04</v>
      </c>
      <c r="N48" s="11" t="n">
        <v>0</v>
      </c>
      <c r="O48" t="inlineStr">
        <is>
          <t>Transfer First</t>
        </is>
      </c>
    </row>
    <row r="49">
      <c r="A49" t="inlineStr">
        <is>
          <t>A-1083</t>
        </is>
      </c>
      <c r="B49" t="inlineStr">
        <is>
          <t>Serpentine Belt 6-Rib 68in</t>
        </is>
      </c>
      <c r="C49" t="inlineStr">
        <is>
          <t>Store-Brooklyn</t>
        </is>
      </c>
      <c r="D49" s="10" t="n">
        <v>60</v>
      </c>
      <c r="E49" s="11" t="n">
        <v>24.02</v>
      </c>
      <c r="F49" s="11" t="n">
        <v>35.51</v>
      </c>
      <c r="G49" s="13" t="n">
        <v>0.3236</v>
      </c>
      <c r="H49" s="10" t="n">
        <v>60</v>
      </c>
      <c r="I49" t="inlineStr">
        <is>
          <t>Moderate</t>
        </is>
      </c>
      <c r="J49" s="13" t="n">
        <v>0</v>
      </c>
      <c r="K49" s="11" t="n">
        <v>35.51</v>
      </c>
      <c r="L49" s="13" t="n">
        <v>0.3548</v>
      </c>
      <c r="M49" s="11" t="n">
        <v>755.9400000000001</v>
      </c>
      <c r="N49" s="11" t="n">
        <v>0</v>
      </c>
      <c r="O49" t="inlineStr">
        <is>
          <t>Transfer First</t>
        </is>
      </c>
    </row>
    <row r="50">
      <c r="A50" t="inlineStr">
        <is>
          <t>T-1044</t>
        </is>
      </c>
      <c r="B50" t="inlineStr">
        <is>
          <t>3/8in Drive Socket Set 40pc</t>
        </is>
      </c>
      <c r="C50" t="inlineStr">
        <is>
          <t>Store-Yonkers</t>
        </is>
      </c>
      <c r="D50" s="10" t="n">
        <v>45</v>
      </c>
      <c r="E50" s="11" t="n">
        <v>55.6</v>
      </c>
      <c r="F50" s="11" t="n">
        <v>78.94</v>
      </c>
      <c r="G50" s="13" t="n">
        <v>0.2957</v>
      </c>
      <c r="H50" s="10" t="n">
        <v>50</v>
      </c>
      <c r="I50" t="inlineStr">
        <is>
          <t>Slow</t>
        </is>
      </c>
      <c r="J50" s="13" t="n">
        <v>0</v>
      </c>
      <c r="K50" s="11" t="n">
        <v>78.94</v>
      </c>
      <c r="L50" s="13" t="n">
        <v>0.1818</v>
      </c>
      <c r="M50" s="11" t="n">
        <v>645.8099999999999</v>
      </c>
      <c r="N50" s="11" t="n">
        <v>0</v>
      </c>
      <c r="O50" t="inlineStr">
        <is>
          <t>Transfer First</t>
        </is>
      </c>
    </row>
    <row r="51">
      <c r="A51" t="inlineStr">
        <is>
          <t>BP-1004</t>
        </is>
      </c>
      <c r="B51" t="inlineStr">
        <is>
          <t>Ceramic Brake Pad Set - Front</t>
        </is>
      </c>
      <c r="C51" t="inlineStr">
        <is>
          <t>Store-Queens</t>
        </is>
      </c>
      <c r="D51" s="10" t="n">
        <v>72</v>
      </c>
      <c r="E51" s="11" t="n">
        <v>32.98</v>
      </c>
      <c r="F51" s="11" t="n">
        <v>48.98</v>
      </c>
      <c r="G51" s="13" t="n">
        <v>0.3267</v>
      </c>
      <c r="H51" s="10" t="n">
        <v>95</v>
      </c>
      <c r="I51" t="inlineStr">
        <is>
          <t>Slow</t>
        </is>
      </c>
      <c r="J51" s="13" t="n">
        <v>0</v>
      </c>
      <c r="K51" s="11" t="n">
        <v>48.98</v>
      </c>
      <c r="L51" s="13" t="n">
        <v>0.1628</v>
      </c>
      <c r="M51" s="11" t="n">
        <v>574.12</v>
      </c>
      <c r="N51" s="11" t="n">
        <v>0</v>
      </c>
      <c r="O51" t="inlineStr">
        <is>
          <t>Transfer First</t>
        </is>
      </c>
    </row>
    <row r="52">
      <c r="A52" t="inlineStr">
        <is>
          <t>F-1007</t>
        </is>
      </c>
      <c r="B52" t="inlineStr">
        <is>
          <t>Cabin Air Filter CF-1180</t>
        </is>
      </c>
      <c r="C52" t="inlineStr">
        <is>
          <t>DC-PA</t>
        </is>
      </c>
      <c r="D52" s="10" t="n">
        <v>66</v>
      </c>
      <c r="E52" s="11" t="n">
        <v>16.72</v>
      </c>
      <c r="F52" s="11" t="n">
        <v>26.37</v>
      </c>
      <c r="G52" s="13" t="n">
        <v>0.3659</v>
      </c>
      <c r="H52" s="10" t="n">
        <v>31</v>
      </c>
      <c r="I52" t="inlineStr">
        <is>
          <t>Moderate</t>
        </is>
      </c>
      <c r="J52" s="13" t="n">
        <v>0</v>
      </c>
      <c r="K52" s="11" t="n">
        <v>26.37</v>
      </c>
      <c r="L52" s="13" t="n">
        <v>0.3125</v>
      </c>
      <c r="M52" s="11" t="n">
        <v>543.88</v>
      </c>
      <c r="N52" s="11" t="n">
        <v>0</v>
      </c>
      <c r="O52" t="inlineStr">
        <is>
          <t>Transfer First</t>
        </is>
      </c>
    </row>
    <row r="53">
      <c r="A53" t="inlineStr">
        <is>
          <t>F-1050</t>
        </is>
      </c>
      <c r="B53" t="inlineStr">
        <is>
          <t>Engine Air Filter AF-9921</t>
        </is>
      </c>
      <c r="C53" t="inlineStr">
        <is>
          <t>Store-Manhattan</t>
        </is>
      </c>
      <c r="D53" s="10" t="n">
        <v>67</v>
      </c>
      <c r="E53" s="11" t="n">
        <v>14.21</v>
      </c>
      <c r="F53" s="11" t="n">
        <v>22.91</v>
      </c>
      <c r="G53" s="13" t="n">
        <v>0.3797</v>
      </c>
      <c r="H53" s="10" t="n">
        <v>168</v>
      </c>
      <c r="I53" t="inlineStr">
        <is>
          <t>Moderate</t>
        </is>
      </c>
      <c r="J53" s="13" t="n">
        <v>0</v>
      </c>
      <c r="K53" s="11" t="n">
        <v>22.91</v>
      </c>
      <c r="L53" s="13" t="n">
        <v>0.2947</v>
      </c>
      <c r="M53" s="11" t="n">
        <v>452.36</v>
      </c>
      <c r="N53" s="11" t="n">
        <v>0</v>
      </c>
      <c r="O53" t="inlineStr">
        <is>
          <t>Transfer First</t>
        </is>
      </c>
    </row>
    <row r="54">
      <c r="A54" t="inlineStr">
        <is>
          <t>SS-1051</t>
        </is>
      </c>
      <c r="B54" t="inlineStr">
        <is>
          <t>Nitrile Gloves Box/100</t>
        </is>
      </c>
      <c r="C54" t="inlineStr">
        <is>
          <t>Store-Newark</t>
        </is>
      </c>
      <c r="D54" s="10" t="n">
        <v>32</v>
      </c>
      <c r="E54" s="11" t="n">
        <v>18.28</v>
      </c>
      <c r="F54" s="11" t="n">
        <v>27.81</v>
      </c>
      <c r="G54" s="13" t="n">
        <v>0.3427</v>
      </c>
      <c r="H54" s="10" t="n">
        <v>80</v>
      </c>
      <c r="I54" t="inlineStr">
        <is>
          <t>Moderate</t>
        </is>
      </c>
      <c r="J54" s="13" t="n">
        <v>0</v>
      </c>
      <c r="K54" s="11" t="n">
        <v>27.81</v>
      </c>
      <c r="L54" s="13" t="n">
        <v>0.4921</v>
      </c>
      <c r="M54" s="11" t="n">
        <v>437.93</v>
      </c>
      <c r="N54" s="11" t="n">
        <v>0</v>
      </c>
      <c r="O54" t="inlineStr">
        <is>
          <t>Transfer First</t>
        </is>
      </c>
    </row>
    <row r="55">
      <c r="A55" t="inlineStr">
        <is>
          <t>B-1022</t>
        </is>
      </c>
      <c r="B55" t="inlineStr">
        <is>
          <t>Mavis PowerStart 24F</t>
        </is>
      </c>
      <c r="C55" t="inlineStr">
        <is>
          <t>Store-WhitePlains</t>
        </is>
      </c>
      <c r="D55" s="10" t="n">
        <v>59</v>
      </c>
      <c r="E55" s="11" t="n">
        <v>124.82</v>
      </c>
      <c r="F55" s="11" t="n">
        <v>185.57</v>
      </c>
      <c r="G55" s="13" t="n">
        <v>0.3274</v>
      </c>
      <c r="H55" s="10" t="n">
        <v>117</v>
      </c>
      <c r="I55" t="inlineStr">
        <is>
          <t>Declining</t>
        </is>
      </c>
      <c r="J55" s="13" t="n">
        <v>0</v>
      </c>
      <c r="K55" s="11" t="n">
        <v>185.57</v>
      </c>
      <c r="L55" s="13" t="n">
        <v>0.0328</v>
      </c>
      <c r="M55" s="11" t="n">
        <v>359.12</v>
      </c>
      <c r="N55" s="11" t="n">
        <v>0</v>
      </c>
      <c r="O55" t="inlineStr">
        <is>
          <t>Transfer First</t>
        </is>
      </c>
    </row>
    <row r="56">
      <c r="A56" t="inlineStr">
        <is>
          <t>A-1010</t>
        </is>
      </c>
      <c r="B56" t="inlineStr">
        <is>
          <t>Beam Wiper Blade 22in</t>
        </is>
      </c>
      <c r="C56" t="inlineStr">
        <is>
          <t>Store-Queens</t>
        </is>
      </c>
      <c r="D56" s="10" t="n">
        <v>57</v>
      </c>
      <c r="E56" s="11" t="n">
        <v>19.94</v>
      </c>
      <c r="F56" s="11" t="n">
        <v>28.28</v>
      </c>
      <c r="G56" s="13" t="n">
        <v>0.2949</v>
      </c>
      <c r="H56" s="10" t="n">
        <v>83</v>
      </c>
      <c r="I56" t="inlineStr">
        <is>
          <t>Moderate</t>
        </is>
      </c>
      <c r="J56" s="13" t="n">
        <v>0</v>
      </c>
      <c r="K56" s="11" t="n">
        <v>28.28</v>
      </c>
      <c r="L56" s="13" t="n">
        <v>0.2192</v>
      </c>
      <c r="M56" s="11" t="n">
        <v>353.34</v>
      </c>
      <c r="N56" s="11" t="n">
        <v>0</v>
      </c>
      <c r="O56" t="inlineStr">
        <is>
          <t>Transfer First</t>
        </is>
      </c>
    </row>
    <row r="57">
      <c r="A57" t="inlineStr">
        <is>
          <t>F-1080</t>
        </is>
      </c>
      <c r="B57" t="inlineStr">
        <is>
          <t>Engine Air Filter AF-9921</t>
        </is>
      </c>
      <c r="C57" t="inlineStr">
        <is>
          <t>DC-NJ</t>
        </is>
      </c>
      <c r="D57" s="10" t="n">
        <v>49</v>
      </c>
      <c r="E57" s="11" t="n">
        <v>14.14</v>
      </c>
      <c r="F57" s="11" t="n">
        <v>22.42</v>
      </c>
      <c r="G57" s="13" t="n">
        <v>0.3693</v>
      </c>
      <c r="H57" s="10" t="n">
        <v>81</v>
      </c>
      <c r="I57" t="inlineStr">
        <is>
          <t>Moderate</t>
        </is>
      </c>
      <c r="J57" s="13" t="n">
        <v>0</v>
      </c>
      <c r="K57" s="11" t="n">
        <v>22.42</v>
      </c>
      <c r="L57" s="13" t="n">
        <v>0.2097</v>
      </c>
      <c r="M57" s="11" t="n">
        <v>230.37</v>
      </c>
      <c r="N57" s="11" t="n">
        <v>0</v>
      </c>
      <c r="O57" t="inlineStr">
        <is>
          <t>Transfer First</t>
        </is>
      </c>
    </row>
    <row r="58">
      <c r="A58" t="inlineStr">
        <is>
          <t>F-1012</t>
        </is>
      </c>
      <c r="B58" t="inlineStr">
        <is>
          <t>Engine Air Filter AF-9921</t>
        </is>
      </c>
      <c r="C58" t="inlineStr">
        <is>
          <t>Store-Yonkers</t>
        </is>
      </c>
      <c r="D58" s="10" t="n">
        <v>70</v>
      </c>
      <c r="E58" s="11" t="n">
        <v>13.69</v>
      </c>
      <c r="F58" s="11" t="n">
        <v>19.3</v>
      </c>
      <c r="G58" s="13" t="n">
        <v>0.2907</v>
      </c>
      <c r="H58" s="10" t="n">
        <v>124</v>
      </c>
      <c r="I58" t="inlineStr">
        <is>
          <t>Slow</t>
        </is>
      </c>
      <c r="J58" s="13" t="n">
        <v>0</v>
      </c>
      <c r="K58" s="11" t="n">
        <v>19.3</v>
      </c>
      <c r="L58" s="13" t="n">
        <v>0.1026</v>
      </c>
      <c r="M58" s="11" t="n">
        <v>138.61</v>
      </c>
      <c r="N58" s="11" t="n">
        <v>0</v>
      </c>
      <c r="O58" t="inlineStr">
        <is>
          <t>Transfer First</t>
        </is>
      </c>
    </row>
    <row r="59">
      <c r="A59" t="inlineStr">
        <is>
          <t>SS-1084</t>
        </is>
      </c>
      <c r="B59" t="inlineStr">
        <is>
          <t>Nitrile Gloves Box/100</t>
        </is>
      </c>
      <c r="C59" t="inlineStr">
        <is>
          <t>Store-Manhattan</t>
        </is>
      </c>
      <c r="D59" s="10" t="n">
        <v>79</v>
      </c>
      <c r="E59" s="11" t="n">
        <v>18.22</v>
      </c>
      <c r="F59" s="11" t="n">
        <v>27.81</v>
      </c>
      <c r="G59" s="13" t="n">
        <v>0.3448</v>
      </c>
      <c r="H59" s="10" t="n">
        <v>175</v>
      </c>
      <c r="I59" t="inlineStr">
        <is>
          <t>Declining</t>
        </is>
      </c>
      <c r="J59" s="13" t="n">
        <v>0</v>
      </c>
      <c r="K59" s="11" t="n">
        <v>27.81</v>
      </c>
      <c r="L59" s="13" t="n">
        <v>0.0595</v>
      </c>
      <c r="M59" s="11" t="n">
        <v>130.72</v>
      </c>
      <c r="N59" s="11" t="n">
        <v>0</v>
      </c>
      <c r="O59" t="inlineStr">
        <is>
          <t>Transfer First</t>
        </is>
      </c>
    </row>
    <row r="60">
      <c r="A60" t="inlineStr">
        <is>
          <t>F-1049</t>
        </is>
      </c>
      <c r="B60" t="inlineStr">
        <is>
          <t>DOT 4 Brake Fluid 12oz</t>
        </is>
      </c>
      <c r="C60" t="inlineStr">
        <is>
          <t>DC-NJ</t>
        </is>
      </c>
      <c r="D60" s="10" t="n">
        <v>35</v>
      </c>
      <c r="E60" s="11" t="n">
        <v>6.05</v>
      </c>
      <c r="F60" s="11" t="n">
        <v>8.26</v>
      </c>
      <c r="G60" s="13" t="n">
        <v>0.2676</v>
      </c>
      <c r="H60" s="10" t="n">
        <v>13</v>
      </c>
      <c r="I60" t="inlineStr">
        <is>
          <t>Moderate</t>
        </is>
      </c>
      <c r="J60" s="13" t="n">
        <v>0</v>
      </c>
      <c r="K60" s="11" t="n">
        <v>8.26</v>
      </c>
      <c r="L60" s="13" t="n">
        <v>0.4068</v>
      </c>
      <c r="M60" s="11" t="n">
        <v>117.61</v>
      </c>
      <c r="N60" s="11" t="n">
        <v>0</v>
      </c>
      <c r="O60" t="inlineStr">
        <is>
          <t>Transfer First</t>
        </is>
      </c>
    </row>
    <row r="61">
      <c r="A61" t="inlineStr">
        <is>
          <t>F-1036</t>
        </is>
      </c>
      <c r="B61" t="inlineStr">
        <is>
          <t>Premium Oil Filter PF-2234</t>
        </is>
      </c>
      <c r="C61" t="inlineStr">
        <is>
          <t>DC-PA</t>
        </is>
      </c>
      <c r="D61" s="10" t="n">
        <v>81</v>
      </c>
      <c r="E61" s="11" t="n">
        <v>9.039999999999999</v>
      </c>
      <c r="F61" s="11" t="n">
        <v>12.62</v>
      </c>
      <c r="G61" s="13" t="n">
        <v>0.2837</v>
      </c>
      <c r="H61" s="10" t="n">
        <v>105</v>
      </c>
      <c r="I61" t="inlineStr">
        <is>
          <t>Declining</t>
        </is>
      </c>
      <c r="J61" s="13" t="n">
        <v>0</v>
      </c>
      <c r="K61" s="11" t="n">
        <v>12.62</v>
      </c>
      <c r="L61" s="13" t="n">
        <v>0.0122</v>
      </c>
      <c r="M61" s="11" t="n">
        <v>12.47</v>
      </c>
      <c r="N61" s="11" t="n">
        <v>0</v>
      </c>
      <c r="O61" t="inlineStr">
        <is>
          <t>Transfer First</t>
        </is>
      </c>
    </row>
    <row r="62">
      <c r="A62" t="inlineStr">
        <is>
          <t>SS-1107</t>
        </is>
      </c>
      <c r="B62" t="inlineStr">
        <is>
          <t>Assorted Clip &amp; Retainer Kit</t>
        </is>
      </c>
      <c r="C62" t="inlineStr">
        <is>
          <t>Store-Yonkers</t>
        </is>
      </c>
      <c r="D62" s="10" t="n">
        <v>58</v>
      </c>
      <c r="E62" s="11" t="n">
        <v>21.37</v>
      </c>
      <c r="F62" s="11" t="n">
        <v>33.83</v>
      </c>
      <c r="G62" s="13" t="n">
        <v>0.3683</v>
      </c>
      <c r="H62" s="10" t="n">
        <v>148</v>
      </c>
      <c r="I62" t="inlineStr">
        <is>
          <t>No Demand</t>
        </is>
      </c>
      <c r="J62" s="13" t="n">
        <v>0</v>
      </c>
      <c r="K62" s="11" t="n">
        <v>33.83</v>
      </c>
      <c r="L62" s="13" t="n">
        <v>0</v>
      </c>
      <c r="M62" s="11" t="n">
        <v>0</v>
      </c>
      <c r="N62" s="11" t="n">
        <v>0</v>
      </c>
      <c r="O62" t="inlineStr">
        <is>
          <t>Transfer First</t>
        </is>
      </c>
    </row>
  </sheetData>
  <mergeCells count="1">
    <mergeCell ref="A1:O1"/>
  </mergeCells>
  <conditionalFormatting sqref="O3:O62">
    <cfRule type="expression" priority="1" dxfId="1">
      <formula>$O3="Liquidate"</formula>
    </cfRule>
    <cfRule type="expression" priority="2" dxfId="3">
      <formula>$O3="20% Markdown"</formula>
    </cfRule>
    <cfRule type="expression" priority="3" dxfId="2">
      <formula>$O3="10% Markdown"</formula>
    </cfRule>
    <cfRule type="expression" priority="4" dxfId="2">
      <formula>$O3="Transfer First"</formula>
    </cfRule>
    <cfRule type="expression" priority="5" dxfId="0">
      <formula>$O3="Hold"</formula>
    </cfRule>
  </conditionalFormatting>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N109"/>
  <sheetViews>
    <sheetView showGridLines="0" workbookViewId="0">
      <pane ySplit="2" topLeftCell="A3" activePane="bottomLeft" state="frozen"/>
      <selection pane="bottomLeft" activeCell="A1" sqref="A1"/>
    </sheetView>
  </sheetViews>
  <sheetFormatPr baseColWidth="8" defaultRowHeight="15"/>
  <cols>
    <col width="36" customWidth="1" min="1" max="1"/>
    <col width="30" customWidth="1" min="2" max="2"/>
    <col width="19" customWidth="1" min="3" max="3"/>
    <col width="22" customWidth="1" min="4" max="4"/>
    <col width="17" customWidth="1" min="5" max="5"/>
    <col width="22" customWidth="1" min="6" max="6"/>
    <col width="23" customWidth="1" min="7" max="7"/>
    <col width="20" customWidth="1" min="8" max="8"/>
    <col width="29" customWidth="1" min="9" max="9"/>
    <col width="11" customWidth="1" min="10" max="10"/>
    <col width="15" customWidth="1" min="11" max="11"/>
    <col width="28" customWidth="1" min="12" max="12"/>
    <col width="13" customWidth="1" min="13" max="13"/>
    <col width="22" customWidth="1" min="14" max="14"/>
  </cols>
  <sheetData>
    <row r="1" ht="28" customHeight="1">
      <c r="A1" s="8" t="inlineStr">
        <is>
          <t>Transfer Planner — 107 Recommended Transfers</t>
        </is>
      </c>
    </row>
    <row r="2" ht="22" customHeight="1">
      <c r="A2" s="9" t="inlineStr">
        <is>
          <t>SKU</t>
        </is>
      </c>
      <c r="B2" s="9" t="inlineStr">
        <is>
          <t>Product Name</t>
        </is>
      </c>
      <c r="C2" s="9" t="inlineStr">
        <is>
          <t>Source Location</t>
        </is>
      </c>
      <c r="D2" s="9" t="inlineStr">
        <is>
          <t>Destination Location</t>
        </is>
      </c>
      <c r="E2" s="9" t="inlineStr">
        <is>
          <t>Source Quantity</t>
        </is>
      </c>
      <c r="F2" s="9" t="inlineStr">
        <is>
          <t>Destination Quantity</t>
        </is>
      </c>
      <c r="G2" s="9" t="inlineStr">
        <is>
          <t>Destination Min Stock</t>
        </is>
      </c>
      <c r="H2" s="9" t="inlineStr">
        <is>
          <t>Destination Demand</t>
        </is>
      </c>
      <c r="I2" s="9" t="inlineStr">
        <is>
          <t>Suggested Transfer Quantity</t>
        </is>
      </c>
      <c r="J2" s="9" t="inlineStr">
        <is>
          <t>Unit Cost</t>
        </is>
      </c>
      <c r="K2" s="9" t="inlineStr">
        <is>
          <t>Transfer Cost</t>
        </is>
      </c>
      <c r="L2" s="9" t="inlineStr">
        <is>
          <t>Estimated Margin Protected</t>
        </is>
      </c>
      <c r="M2" s="9" t="inlineStr">
        <is>
          <t>Net Benefit</t>
        </is>
      </c>
      <c r="N2" s="9" t="inlineStr">
        <is>
          <t>Recommendation</t>
        </is>
      </c>
    </row>
    <row r="3">
      <c r="A3" t="inlineStr">
        <is>
          <t>T-1023</t>
        </is>
      </c>
      <c r="B3" t="inlineStr">
        <is>
          <t>Impact Wrench 1/2in 20V</t>
        </is>
      </c>
      <c r="C3" t="inlineStr">
        <is>
          <t>DC-PA</t>
        </is>
      </c>
      <c r="D3" t="inlineStr">
        <is>
          <t>Store-Brooklyn</t>
        </is>
      </c>
      <c r="E3" s="10" t="n">
        <v>61</v>
      </c>
      <c r="F3" s="10" t="n">
        <v>63</v>
      </c>
      <c r="G3" s="10" t="n">
        <v>17</v>
      </c>
      <c r="H3" s="10" t="n">
        <v>32</v>
      </c>
      <c r="I3" s="10" t="n">
        <v>13</v>
      </c>
      <c r="J3" s="11" t="n">
        <v>206.1</v>
      </c>
      <c r="K3" s="11" t="n">
        <v>84.5</v>
      </c>
      <c r="L3" s="11" t="n">
        <v>937.75</v>
      </c>
      <c r="M3" s="11" t="n">
        <v>853.25</v>
      </c>
      <c r="N3" t="inlineStr">
        <is>
          <t>Transfer Recommended</t>
        </is>
      </c>
    </row>
    <row r="4">
      <c r="A4" t="inlineStr">
        <is>
          <t>T-1096</t>
        </is>
      </c>
      <c r="B4" t="inlineStr">
        <is>
          <t>Mavis Sport Grip 245/40R18</t>
        </is>
      </c>
      <c r="C4" t="inlineStr">
        <is>
          <t>Store-Queens</t>
        </is>
      </c>
      <c r="D4" t="inlineStr">
        <is>
          <t>Store-WhitePlains</t>
        </is>
      </c>
      <c r="E4" s="10" t="n">
        <v>71</v>
      </c>
      <c r="F4" s="10" t="n">
        <v>6</v>
      </c>
      <c r="G4" s="10" t="n">
        <v>15</v>
      </c>
      <c r="H4" s="10" t="n">
        <v>25</v>
      </c>
      <c r="I4" s="10" t="n">
        <v>20</v>
      </c>
      <c r="J4" s="11" t="n">
        <v>129.57</v>
      </c>
      <c r="K4" s="11" t="n">
        <v>105</v>
      </c>
      <c r="L4" s="11" t="n">
        <v>906.99</v>
      </c>
      <c r="M4" s="11" t="n">
        <v>801.99</v>
      </c>
      <c r="N4" t="inlineStr">
        <is>
          <t>Transfer Recommended</t>
        </is>
      </c>
    </row>
    <row r="5">
      <c r="A5" t="inlineStr">
        <is>
          <t>T-1023</t>
        </is>
      </c>
      <c r="B5" t="inlineStr">
        <is>
          <t>Impact Wrench 1/2in 20V</t>
        </is>
      </c>
      <c r="C5" t="inlineStr">
        <is>
          <t>DC-PA</t>
        </is>
      </c>
      <c r="D5" t="inlineStr">
        <is>
          <t>Store-Queens</t>
        </is>
      </c>
      <c r="E5" s="10" t="n">
        <v>61</v>
      </c>
      <c r="F5" s="10" t="n">
        <v>10</v>
      </c>
      <c r="G5" s="10" t="n">
        <v>13</v>
      </c>
      <c r="H5" s="10" t="n">
        <v>19</v>
      </c>
      <c r="I5" s="10" t="n">
        <v>12</v>
      </c>
      <c r="J5" s="11" t="n">
        <v>206.1</v>
      </c>
      <c r="K5" s="11" t="n">
        <v>82</v>
      </c>
      <c r="L5" s="11" t="n">
        <v>865.62</v>
      </c>
      <c r="M5" s="11" t="n">
        <v>783.62</v>
      </c>
      <c r="N5" t="inlineStr">
        <is>
          <t>Transfer Recommended</t>
        </is>
      </c>
    </row>
    <row r="6">
      <c r="A6" t="inlineStr">
        <is>
          <t>T-1019</t>
        </is>
      </c>
      <c r="B6" t="inlineStr">
        <is>
          <t>Impact Wrench 1/2in 20V</t>
        </is>
      </c>
      <c r="C6" t="inlineStr">
        <is>
          <t>Store-Brooklyn</t>
        </is>
      </c>
      <c r="D6" t="inlineStr">
        <is>
          <t>Store-Queens</t>
        </is>
      </c>
      <c r="E6" s="10" t="n">
        <v>63</v>
      </c>
      <c r="F6" s="10" t="n">
        <v>10</v>
      </c>
      <c r="G6" s="10" t="n">
        <v>13</v>
      </c>
      <c r="H6" s="10" t="n">
        <v>19</v>
      </c>
      <c r="I6" s="10" t="n">
        <v>12</v>
      </c>
      <c r="J6" s="11" t="n">
        <v>202.91</v>
      </c>
      <c r="K6" s="11" t="n">
        <v>74.2</v>
      </c>
      <c r="L6" s="11" t="n">
        <v>852.22</v>
      </c>
      <c r="M6" s="11" t="n">
        <v>778.02</v>
      </c>
      <c r="N6" t="inlineStr">
        <is>
          <t>Transfer Recommended</t>
        </is>
      </c>
    </row>
    <row r="7">
      <c r="A7" t="inlineStr">
        <is>
          <t>T-1072</t>
        </is>
      </c>
      <c r="B7" t="inlineStr">
        <is>
          <t>Mavis Sport Grip 245/40R18</t>
        </is>
      </c>
      <c r="C7" t="inlineStr">
        <is>
          <t>Store-Newark</t>
        </is>
      </c>
      <c r="D7" t="inlineStr">
        <is>
          <t>Store-WhitePlains</t>
        </is>
      </c>
      <c r="E7" s="10" t="n">
        <v>57</v>
      </c>
      <c r="F7" s="10" t="n">
        <v>6</v>
      </c>
      <c r="G7" s="10" t="n">
        <v>15</v>
      </c>
      <c r="H7" s="10" t="n">
        <v>25</v>
      </c>
      <c r="I7" s="10" t="n">
        <v>18</v>
      </c>
      <c r="J7" s="11" t="n">
        <v>130.71</v>
      </c>
      <c r="K7" s="11" t="n">
        <v>97.3</v>
      </c>
      <c r="L7" s="11" t="n">
        <v>823.47</v>
      </c>
      <c r="M7" s="11" t="n">
        <v>726.17</v>
      </c>
      <c r="N7" t="inlineStr">
        <is>
          <t>Transfer Recommended</t>
        </is>
      </c>
    </row>
    <row r="8">
      <c r="A8" t="inlineStr">
        <is>
          <t>T-1072</t>
        </is>
      </c>
      <c r="B8" t="inlineStr">
        <is>
          <t>Mavis Sport Grip 245/40R18</t>
        </is>
      </c>
      <c r="C8" t="inlineStr">
        <is>
          <t>Store-Newark</t>
        </is>
      </c>
      <c r="D8" t="inlineStr">
        <is>
          <t>DC-NJ</t>
        </is>
      </c>
      <c r="E8" s="10" t="n">
        <v>57</v>
      </c>
      <c r="F8" s="10" t="n">
        <v>3</v>
      </c>
      <c r="G8" s="10" t="n">
        <v>12</v>
      </c>
      <c r="H8" s="10" t="n">
        <v>18</v>
      </c>
      <c r="I8" s="10" t="n">
        <v>18</v>
      </c>
      <c r="J8" s="11" t="n">
        <v>130.71</v>
      </c>
      <c r="K8" s="11" t="n">
        <v>101.1</v>
      </c>
      <c r="L8" s="11" t="n">
        <v>823.47</v>
      </c>
      <c r="M8" s="11" t="n">
        <v>722.37</v>
      </c>
      <c r="N8" t="inlineStr">
        <is>
          <t>Transfer Recommended</t>
        </is>
      </c>
    </row>
    <row r="9">
      <c r="A9" t="inlineStr">
        <is>
          <t>T-1096</t>
        </is>
      </c>
      <c r="B9" t="inlineStr">
        <is>
          <t>Mavis Sport Grip 245/40R18</t>
        </is>
      </c>
      <c r="C9" t="inlineStr">
        <is>
          <t>Store-Queens</t>
        </is>
      </c>
      <c r="D9" t="inlineStr">
        <is>
          <t>DC-NJ</t>
        </is>
      </c>
      <c r="E9" s="10" t="n">
        <v>71</v>
      </c>
      <c r="F9" s="10" t="n">
        <v>3</v>
      </c>
      <c r="G9" s="10" t="n">
        <v>12</v>
      </c>
      <c r="H9" s="10" t="n">
        <v>18</v>
      </c>
      <c r="I9" s="10" t="n">
        <v>18</v>
      </c>
      <c r="J9" s="11" t="n">
        <v>129.57</v>
      </c>
      <c r="K9" s="11" t="n">
        <v>101.1</v>
      </c>
      <c r="L9" s="11" t="n">
        <v>816.29</v>
      </c>
      <c r="M9" s="11" t="n">
        <v>715.1900000000001</v>
      </c>
      <c r="N9" t="inlineStr">
        <is>
          <t>Transfer Recommended</t>
        </is>
      </c>
    </row>
    <row r="10">
      <c r="A10" t="inlineStr">
        <is>
          <t>T-1023</t>
        </is>
      </c>
      <c r="B10" t="inlineStr">
        <is>
          <t>Impact Wrench 1/2in 20V</t>
        </is>
      </c>
      <c r="C10" t="inlineStr">
        <is>
          <t>DC-PA</t>
        </is>
      </c>
      <c r="D10" t="inlineStr">
        <is>
          <t>Store-Bronx</t>
        </is>
      </c>
      <c r="E10" s="10" t="n">
        <v>61</v>
      </c>
      <c r="F10" s="10" t="n">
        <v>38</v>
      </c>
      <c r="G10" s="10" t="n">
        <v>8</v>
      </c>
      <c r="H10" s="10" t="n">
        <v>23</v>
      </c>
      <c r="I10" s="10" t="n">
        <v>10</v>
      </c>
      <c r="J10" s="11" t="n">
        <v>206.1</v>
      </c>
      <c r="K10" s="11" t="n">
        <v>77</v>
      </c>
      <c r="L10" s="11" t="n">
        <v>721.35</v>
      </c>
      <c r="M10" s="11" t="n">
        <v>644.35</v>
      </c>
      <c r="N10" t="inlineStr">
        <is>
          <t>Transfer Recommended</t>
        </is>
      </c>
    </row>
    <row r="11">
      <c r="A11" t="inlineStr">
        <is>
          <t>T-1019</t>
        </is>
      </c>
      <c r="B11" t="inlineStr">
        <is>
          <t>Impact Wrench 1/2in 20V</t>
        </is>
      </c>
      <c r="C11" t="inlineStr">
        <is>
          <t>Store-Brooklyn</t>
        </is>
      </c>
      <c r="D11" t="inlineStr">
        <is>
          <t>Store-Bronx</t>
        </is>
      </c>
      <c r="E11" s="10" t="n">
        <v>63</v>
      </c>
      <c r="F11" s="10" t="n">
        <v>38</v>
      </c>
      <c r="G11" s="10" t="n">
        <v>8</v>
      </c>
      <c r="H11" s="10" t="n">
        <v>23</v>
      </c>
      <c r="I11" s="10" t="n">
        <v>10</v>
      </c>
      <c r="J11" s="11" t="n">
        <v>202.91</v>
      </c>
      <c r="K11" s="11" t="n">
        <v>66.5</v>
      </c>
      <c r="L11" s="11" t="n">
        <v>710.1799999999999</v>
      </c>
      <c r="M11" s="11" t="n">
        <v>643.6799999999999</v>
      </c>
      <c r="N11" t="inlineStr">
        <is>
          <t>Transfer Recommended</t>
        </is>
      </c>
    </row>
    <row r="12">
      <c r="A12" t="inlineStr">
        <is>
          <t>T-1037</t>
        </is>
      </c>
      <c r="B12" t="inlineStr">
        <is>
          <t>Hydraulic Floor Jack 3-Ton</t>
        </is>
      </c>
      <c r="C12" t="inlineStr">
        <is>
          <t>DC-NJ</t>
        </is>
      </c>
      <c r="D12" t="inlineStr">
        <is>
          <t>DC-NY</t>
        </is>
      </c>
      <c r="E12" s="10" t="n">
        <v>56</v>
      </c>
      <c r="F12" s="10" t="n">
        <v>60</v>
      </c>
      <c r="G12" s="10" t="n">
        <v>14</v>
      </c>
      <c r="H12" s="10" t="n">
        <v>32</v>
      </c>
      <c r="I12" s="10" t="n">
        <v>12</v>
      </c>
      <c r="J12" s="11" t="n">
        <v>161.87</v>
      </c>
      <c r="K12" s="11" t="n">
        <v>66.40000000000001</v>
      </c>
      <c r="L12" s="11" t="n">
        <v>679.85</v>
      </c>
      <c r="M12" s="11" t="n">
        <v>613.45</v>
      </c>
      <c r="N12" t="inlineStr">
        <is>
          <t>Transfer Recommended</t>
        </is>
      </c>
    </row>
    <row r="13">
      <c r="A13" t="inlineStr">
        <is>
          <t>B-1055</t>
        </is>
      </c>
      <c r="B13" t="inlineStr">
        <is>
          <t>Deep Cycle Marine 27DC</t>
        </is>
      </c>
      <c r="C13" t="inlineStr">
        <is>
          <t>Store-Brooklyn</t>
        </is>
      </c>
      <c r="D13" t="inlineStr">
        <is>
          <t>Store-Stamford</t>
        </is>
      </c>
      <c r="E13" s="10" t="n">
        <v>79</v>
      </c>
      <c r="F13" s="10" t="n">
        <v>34</v>
      </c>
      <c r="G13" s="10" t="n">
        <v>14</v>
      </c>
      <c r="H13" s="10" t="n">
        <v>32</v>
      </c>
      <c r="I13" s="10" t="n">
        <v>13</v>
      </c>
      <c r="J13" s="11" t="n">
        <v>147.53</v>
      </c>
      <c r="K13" s="11" t="n">
        <v>78.05</v>
      </c>
      <c r="L13" s="11" t="n">
        <v>671.26</v>
      </c>
      <c r="M13" s="11" t="n">
        <v>593.21</v>
      </c>
      <c r="N13" t="inlineStr">
        <is>
          <t>Transfer Recommended</t>
        </is>
      </c>
    </row>
    <row r="14">
      <c r="A14" t="inlineStr">
        <is>
          <t>B-1045</t>
        </is>
      </c>
      <c r="B14" t="inlineStr">
        <is>
          <t>Deep Cycle Marine 27DC</t>
        </is>
      </c>
      <c r="C14" t="inlineStr">
        <is>
          <t>Store-Brooklyn</t>
        </is>
      </c>
      <c r="D14" t="inlineStr">
        <is>
          <t>Store-Stamford</t>
        </is>
      </c>
      <c r="E14" s="10" t="n">
        <v>79</v>
      </c>
      <c r="F14" s="10" t="n">
        <v>34</v>
      </c>
      <c r="G14" s="10" t="n">
        <v>14</v>
      </c>
      <c r="H14" s="10" t="n">
        <v>32</v>
      </c>
      <c r="I14" s="10" t="n">
        <v>13</v>
      </c>
      <c r="J14" s="11" t="n">
        <v>144.23</v>
      </c>
      <c r="K14" s="11" t="n">
        <v>78.05</v>
      </c>
      <c r="L14" s="11" t="n">
        <v>656.25</v>
      </c>
      <c r="M14" s="11" t="n">
        <v>578.2</v>
      </c>
      <c r="N14" t="inlineStr">
        <is>
          <t>Transfer Recommended</t>
        </is>
      </c>
    </row>
    <row r="15">
      <c r="A15" t="inlineStr">
        <is>
          <t>T-1065</t>
        </is>
      </c>
      <c r="B15" t="inlineStr">
        <is>
          <t>Hydraulic Floor Jack 3-Ton</t>
        </is>
      </c>
      <c r="C15" t="inlineStr">
        <is>
          <t>DC-NY</t>
        </is>
      </c>
      <c r="D15" t="inlineStr">
        <is>
          <t>Store-Newark</t>
        </is>
      </c>
      <c r="E15" s="10" t="n">
        <v>60</v>
      </c>
      <c r="F15" s="10" t="n">
        <v>57</v>
      </c>
      <c r="G15" s="10" t="n">
        <v>18</v>
      </c>
      <c r="H15" s="10" t="n">
        <v>27</v>
      </c>
      <c r="I15" s="10" t="n">
        <v>11</v>
      </c>
      <c r="J15" s="11" t="n">
        <v>167.83</v>
      </c>
      <c r="K15" s="11" t="n">
        <v>79.5</v>
      </c>
      <c r="L15" s="11" t="n">
        <v>646.15</v>
      </c>
      <c r="M15" s="11" t="n">
        <v>566.65</v>
      </c>
      <c r="N15" t="inlineStr">
        <is>
          <t>Transfer Recommended</t>
        </is>
      </c>
    </row>
    <row r="16">
      <c r="A16" t="inlineStr">
        <is>
          <t>T-1019</t>
        </is>
      </c>
      <c r="B16" t="inlineStr">
        <is>
          <t>Impact Wrench 1/2in 20V</t>
        </is>
      </c>
      <c r="C16" t="inlineStr">
        <is>
          <t>Store-Brooklyn</t>
        </is>
      </c>
      <c r="D16" t="inlineStr">
        <is>
          <t>DC-PA</t>
        </is>
      </c>
      <c r="E16" s="10" t="n">
        <v>63</v>
      </c>
      <c r="F16" s="10" t="n">
        <v>61</v>
      </c>
      <c r="G16" s="10" t="n">
        <v>17</v>
      </c>
      <c r="H16" s="10" t="n">
        <v>19</v>
      </c>
      <c r="I16" s="10" t="n">
        <v>9</v>
      </c>
      <c r="J16" s="11" t="n">
        <v>202.91</v>
      </c>
      <c r="K16" s="11" t="n">
        <v>74.55</v>
      </c>
      <c r="L16" s="11" t="n">
        <v>639.17</v>
      </c>
      <c r="M16" s="11" t="n">
        <v>564.62</v>
      </c>
      <c r="N16" t="inlineStr">
        <is>
          <t>Transfer Recommended</t>
        </is>
      </c>
    </row>
    <row r="17">
      <c r="A17" t="inlineStr">
        <is>
          <t>T-1037</t>
        </is>
      </c>
      <c r="B17" t="inlineStr">
        <is>
          <t>Hydraulic Floor Jack 3-Ton</t>
        </is>
      </c>
      <c r="C17" t="inlineStr">
        <is>
          <t>DC-NJ</t>
        </is>
      </c>
      <c r="D17" t="inlineStr">
        <is>
          <t>Store-Newark</t>
        </is>
      </c>
      <c r="E17" s="10" t="n">
        <v>56</v>
      </c>
      <c r="F17" s="10" t="n">
        <v>57</v>
      </c>
      <c r="G17" s="10" t="n">
        <v>18</v>
      </c>
      <c r="H17" s="10" t="n">
        <v>27</v>
      </c>
      <c r="I17" s="10" t="n">
        <v>11</v>
      </c>
      <c r="J17" s="11" t="n">
        <v>161.87</v>
      </c>
      <c r="K17" s="11" t="n">
        <v>79.5</v>
      </c>
      <c r="L17" s="11" t="n">
        <v>623.2</v>
      </c>
      <c r="M17" s="11" t="n">
        <v>543.7</v>
      </c>
      <c r="N17" t="inlineStr">
        <is>
          <t>Transfer Recommended</t>
        </is>
      </c>
    </row>
    <row r="18">
      <c r="A18" t="inlineStr">
        <is>
          <t>T-1003</t>
        </is>
      </c>
      <c r="B18" t="inlineStr">
        <is>
          <t>Mavis Fleet HD 225/75R16</t>
        </is>
      </c>
      <c r="C18" t="inlineStr">
        <is>
          <t>Store-Bronx</t>
        </is>
      </c>
      <c r="D18" t="inlineStr">
        <is>
          <t>DC-NY</t>
        </is>
      </c>
      <c r="E18" s="10" t="n">
        <v>85</v>
      </c>
      <c r="F18" s="10" t="n">
        <v>62</v>
      </c>
      <c r="G18" s="10" t="n">
        <v>13</v>
      </c>
      <c r="H18" s="10" t="n">
        <v>29</v>
      </c>
      <c r="I18" s="10" t="n">
        <v>12</v>
      </c>
      <c r="J18" s="11" t="n">
        <v>148.75</v>
      </c>
      <c r="K18" s="11" t="n">
        <v>83.40000000000001</v>
      </c>
      <c r="L18" s="11" t="n">
        <v>624.75</v>
      </c>
      <c r="M18" s="11" t="n">
        <v>541.35</v>
      </c>
      <c r="N18" t="inlineStr">
        <is>
          <t>Transfer Recommended</t>
        </is>
      </c>
    </row>
    <row r="19">
      <c r="A19" t="inlineStr">
        <is>
          <t>B-1030</t>
        </is>
      </c>
      <c r="B19" t="inlineStr">
        <is>
          <t>Mavis AGM 47H6</t>
        </is>
      </c>
      <c r="C19" t="inlineStr">
        <is>
          <t>Store-Manhattan</t>
        </is>
      </c>
      <c r="D19" t="inlineStr">
        <is>
          <t>DC-NY</t>
        </is>
      </c>
      <c r="E19" s="10" t="n">
        <v>43</v>
      </c>
      <c r="F19" s="10" t="n">
        <v>36</v>
      </c>
      <c r="G19" s="10" t="n">
        <v>9</v>
      </c>
      <c r="H19" s="10" t="n">
        <v>16</v>
      </c>
      <c r="I19" s="10" t="n">
        <v>9</v>
      </c>
      <c r="J19" s="11" t="n">
        <v>192.01</v>
      </c>
      <c r="K19" s="11" t="n">
        <v>74.55</v>
      </c>
      <c r="L19" s="11" t="n">
        <v>604.83</v>
      </c>
      <c r="M19" s="11" t="n">
        <v>530.28</v>
      </c>
      <c r="N19" t="inlineStr">
        <is>
          <t>Transfer Recommended</t>
        </is>
      </c>
    </row>
    <row r="20">
      <c r="A20" t="inlineStr">
        <is>
          <t>T-1072</t>
        </is>
      </c>
      <c r="B20" t="inlineStr">
        <is>
          <t>Mavis Sport Grip 245/40R18</t>
        </is>
      </c>
      <c r="C20" t="inlineStr">
        <is>
          <t>Store-Newark</t>
        </is>
      </c>
      <c r="D20" t="inlineStr">
        <is>
          <t>Store-Queens</t>
        </is>
      </c>
      <c r="E20" s="10" t="n">
        <v>57</v>
      </c>
      <c r="F20" s="10" t="n">
        <v>26</v>
      </c>
      <c r="G20" s="10" t="n">
        <v>20</v>
      </c>
      <c r="H20" s="10" t="n">
        <v>32</v>
      </c>
      <c r="I20" s="10" t="n">
        <v>13</v>
      </c>
      <c r="J20" s="11" t="n">
        <v>130.71</v>
      </c>
      <c r="K20" s="11" t="n">
        <v>78.05</v>
      </c>
      <c r="L20" s="11" t="n">
        <v>594.73</v>
      </c>
      <c r="M20" s="11" t="n">
        <v>516.6799999999999</v>
      </c>
      <c r="N20" t="inlineStr">
        <is>
          <t>Transfer Recommended</t>
        </is>
      </c>
    </row>
    <row r="21">
      <c r="A21" t="inlineStr">
        <is>
          <t>T-1019</t>
        </is>
      </c>
      <c r="B21" t="inlineStr">
        <is>
          <t>Impact Wrench 1/2in 20V</t>
        </is>
      </c>
      <c r="C21" t="inlineStr">
        <is>
          <t>Store-Brooklyn</t>
        </is>
      </c>
      <c r="D21" t="inlineStr">
        <is>
          <t>Store-Newark</t>
        </is>
      </c>
      <c r="E21" s="10" t="n">
        <v>63</v>
      </c>
      <c r="F21" s="10" t="n">
        <v>21</v>
      </c>
      <c r="G21" s="10" t="n">
        <v>15</v>
      </c>
      <c r="H21" s="10" t="n">
        <v>14</v>
      </c>
      <c r="I21" s="10" t="n">
        <v>8</v>
      </c>
      <c r="J21" s="11" t="n">
        <v>202.91</v>
      </c>
      <c r="K21" s="11" t="n">
        <v>58.8</v>
      </c>
      <c r="L21" s="11" t="n">
        <v>568.15</v>
      </c>
      <c r="M21" s="11" t="n">
        <v>509.35</v>
      </c>
      <c r="N21" t="inlineStr">
        <is>
          <t>Transfer Recommended</t>
        </is>
      </c>
    </row>
    <row r="22">
      <c r="A22" t="inlineStr">
        <is>
          <t>T-1023</t>
        </is>
      </c>
      <c r="B22" t="inlineStr">
        <is>
          <t>Impact Wrench 1/2in 20V</t>
        </is>
      </c>
      <c r="C22" t="inlineStr">
        <is>
          <t>DC-PA</t>
        </is>
      </c>
      <c r="D22" t="inlineStr">
        <is>
          <t>Store-Newark</t>
        </is>
      </c>
      <c r="E22" s="10" t="n">
        <v>61</v>
      </c>
      <c r="F22" s="10" t="n">
        <v>21</v>
      </c>
      <c r="G22" s="10" t="n">
        <v>15</v>
      </c>
      <c r="H22" s="10" t="n">
        <v>14</v>
      </c>
      <c r="I22" s="10" t="n">
        <v>8</v>
      </c>
      <c r="J22" s="11" t="n">
        <v>206.1</v>
      </c>
      <c r="K22" s="11" t="n">
        <v>72</v>
      </c>
      <c r="L22" s="11" t="n">
        <v>577.08</v>
      </c>
      <c r="M22" s="11" t="n">
        <v>505.08</v>
      </c>
      <c r="N22" t="inlineStr">
        <is>
          <t>Transfer Recommended</t>
        </is>
      </c>
    </row>
    <row r="23">
      <c r="A23" t="inlineStr">
        <is>
          <t>B-1055</t>
        </is>
      </c>
      <c r="B23" t="inlineStr">
        <is>
          <t>Deep Cycle Marine 27DC</t>
        </is>
      </c>
      <c r="C23" t="inlineStr">
        <is>
          <t>Store-Brooklyn</t>
        </is>
      </c>
      <c r="D23" t="inlineStr">
        <is>
          <t>Store-Queens</t>
        </is>
      </c>
      <c r="E23" s="10" t="n">
        <v>79</v>
      </c>
      <c r="F23" s="10" t="n">
        <v>34</v>
      </c>
      <c r="G23" s="10" t="n">
        <v>8</v>
      </c>
      <c r="H23" s="10" t="n">
        <v>25</v>
      </c>
      <c r="I23" s="10" t="n">
        <v>11</v>
      </c>
      <c r="J23" s="11" t="n">
        <v>147.53</v>
      </c>
      <c r="K23" s="11" t="n">
        <v>70.34999999999999</v>
      </c>
      <c r="L23" s="11" t="n">
        <v>567.99</v>
      </c>
      <c r="M23" s="11" t="n">
        <v>497.64</v>
      </c>
      <c r="N23" t="inlineStr">
        <is>
          <t>Transfer Recommended</t>
        </is>
      </c>
    </row>
    <row r="24">
      <c r="A24" t="inlineStr">
        <is>
          <t>B-1045</t>
        </is>
      </c>
      <c r="B24" t="inlineStr">
        <is>
          <t>Deep Cycle Marine 27DC</t>
        </is>
      </c>
      <c r="C24" t="inlineStr">
        <is>
          <t>Store-Brooklyn</t>
        </is>
      </c>
      <c r="D24" t="inlineStr">
        <is>
          <t>Store-Queens</t>
        </is>
      </c>
      <c r="E24" s="10" t="n">
        <v>79</v>
      </c>
      <c r="F24" s="10" t="n">
        <v>34</v>
      </c>
      <c r="G24" s="10" t="n">
        <v>8</v>
      </c>
      <c r="H24" s="10" t="n">
        <v>25</v>
      </c>
      <c r="I24" s="10" t="n">
        <v>11</v>
      </c>
      <c r="J24" s="11" t="n">
        <v>144.23</v>
      </c>
      <c r="K24" s="11" t="n">
        <v>70.34999999999999</v>
      </c>
      <c r="L24" s="11" t="n">
        <v>555.29</v>
      </c>
      <c r="M24" s="11" t="n">
        <v>484.94</v>
      </c>
      <c r="N24" t="inlineStr">
        <is>
          <t>Transfer Recommended</t>
        </is>
      </c>
    </row>
    <row r="25">
      <c r="A25" t="inlineStr">
        <is>
          <t>B-1055</t>
        </is>
      </c>
      <c r="B25" t="inlineStr">
        <is>
          <t>Deep Cycle Marine 27DC</t>
        </is>
      </c>
      <c r="C25" t="inlineStr">
        <is>
          <t>Store-Brooklyn</t>
        </is>
      </c>
      <c r="D25" t="inlineStr">
        <is>
          <t>Store-Yonkers</t>
        </is>
      </c>
      <c r="E25" s="10" t="n">
        <v>79</v>
      </c>
      <c r="F25" s="10" t="n">
        <v>55</v>
      </c>
      <c r="G25" s="10" t="n">
        <v>15</v>
      </c>
      <c r="H25" s="10" t="n">
        <v>21</v>
      </c>
      <c r="I25" s="10" t="n">
        <v>10</v>
      </c>
      <c r="J25" s="11" t="n">
        <v>147.53</v>
      </c>
      <c r="K25" s="11" t="n">
        <v>66.5</v>
      </c>
      <c r="L25" s="11" t="n">
        <v>516.35</v>
      </c>
      <c r="M25" s="11" t="n">
        <v>449.85</v>
      </c>
      <c r="N25" t="inlineStr">
        <is>
          <t>Transfer Recommended</t>
        </is>
      </c>
    </row>
    <row r="26">
      <c r="A26" t="inlineStr">
        <is>
          <t>B-1045</t>
        </is>
      </c>
      <c r="B26" t="inlineStr">
        <is>
          <t>Deep Cycle Marine 27DC</t>
        </is>
      </c>
      <c r="C26" t="inlineStr">
        <is>
          <t>Store-Brooklyn</t>
        </is>
      </c>
      <c r="D26" t="inlineStr">
        <is>
          <t>Store-Yonkers</t>
        </is>
      </c>
      <c r="E26" s="10" t="n">
        <v>79</v>
      </c>
      <c r="F26" s="10" t="n">
        <v>55</v>
      </c>
      <c r="G26" s="10" t="n">
        <v>15</v>
      </c>
      <c r="H26" s="10" t="n">
        <v>21</v>
      </c>
      <c r="I26" s="10" t="n">
        <v>10</v>
      </c>
      <c r="J26" s="11" t="n">
        <v>144.23</v>
      </c>
      <c r="K26" s="11" t="n">
        <v>66.5</v>
      </c>
      <c r="L26" s="11" t="n">
        <v>504.8</v>
      </c>
      <c r="M26" s="11" t="n">
        <v>438.3</v>
      </c>
      <c r="N26" t="inlineStr">
        <is>
          <t>Transfer Recommended</t>
        </is>
      </c>
    </row>
    <row r="27">
      <c r="A27" t="inlineStr">
        <is>
          <t>T-1072</t>
        </is>
      </c>
      <c r="B27" t="inlineStr">
        <is>
          <t>Mavis Sport Grip 245/40R18</t>
        </is>
      </c>
      <c r="C27" t="inlineStr">
        <is>
          <t>Store-Newark</t>
        </is>
      </c>
      <c r="D27" t="inlineStr">
        <is>
          <t>DC-NJ</t>
        </is>
      </c>
      <c r="E27" s="10" t="n">
        <v>57</v>
      </c>
      <c r="F27" s="10" t="n">
        <v>12</v>
      </c>
      <c r="G27" s="10" t="n">
        <v>13</v>
      </c>
      <c r="H27" s="10" t="n">
        <v>21</v>
      </c>
      <c r="I27" s="10" t="n">
        <v>11</v>
      </c>
      <c r="J27" s="11" t="n">
        <v>130.71</v>
      </c>
      <c r="K27" s="11" t="n">
        <v>80.45</v>
      </c>
      <c r="L27" s="11" t="n">
        <v>503.23</v>
      </c>
      <c r="M27" s="11" t="n">
        <v>422.78</v>
      </c>
      <c r="N27" t="inlineStr">
        <is>
          <t>Transfer Recommended</t>
        </is>
      </c>
    </row>
    <row r="28">
      <c r="A28" t="inlineStr">
        <is>
          <t>T-1096</t>
        </is>
      </c>
      <c r="B28" t="inlineStr">
        <is>
          <t>Mavis Sport Grip 245/40R18</t>
        </is>
      </c>
      <c r="C28" t="inlineStr">
        <is>
          <t>Store-Queens</t>
        </is>
      </c>
      <c r="D28" t="inlineStr">
        <is>
          <t>DC-NJ</t>
        </is>
      </c>
      <c r="E28" s="10" t="n">
        <v>71</v>
      </c>
      <c r="F28" s="10" t="n">
        <v>12</v>
      </c>
      <c r="G28" s="10" t="n">
        <v>13</v>
      </c>
      <c r="H28" s="10" t="n">
        <v>21</v>
      </c>
      <c r="I28" s="10" t="n">
        <v>11</v>
      </c>
      <c r="J28" s="11" t="n">
        <v>129.57</v>
      </c>
      <c r="K28" s="11" t="n">
        <v>80.45</v>
      </c>
      <c r="L28" s="11" t="n">
        <v>498.84</v>
      </c>
      <c r="M28" s="11" t="n">
        <v>418.39</v>
      </c>
      <c r="N28" t="inlineStr">
        <is>
          <t>Transfer Recommended</t>
        </is>
      </c>
    </row>
    <row r="29">
      <c r="A29" t="inlineStr">
        <is>
          <t>B-1055</t>
        </is>
      </c>
      <c r="B29" t="inlineStr">
        <is>
          <t>Deep Cycle Marine 27DC</t>
        </is>
      </c>
      <c r="C29" t="inlineStr">
        <is>
          <t>Store-Brooklyn</t>
        </is>
      </c>
      <c r="D29" t="inlineStr">
        <is>
          <t>Store-Manhattan</t>
        </is>
      </c>
      <c r="E29" s="10" t="n">
        <v>79</v>
      </c>
      <c r="F29" s="10" t="n">
        <v>38</v>
      </c>
      <c r="G29" s="10" t="n">
        <v>10</v>
      </c>
      <c r="H29" s="10" t="n">
        <v>18</v>
      </c>
      <c r="I29" s="10" t="n">
        <v>9</v>
      </c>
      <c r="J29" s="11" t="n">
        <v>147.53</v>
      </c>
      <c r="K29" s="11" t="n">
        <v>62.65</v>
      </c>
      <c r="L29" s="11" t="n">
        <v>464.72</v>
      </c>
      <c r="M29" s="11" t="n">
        <v>402.07</v>
      </c>
      <c r="N29" t="inlineStr">
        <is>
          <t>Transfer Recommended</t>
        </is>
      </c>
    </row>
    <row r="30">
      <c r="A30" t="inlineStr">
        <is>
          <t>B-1055</t>
        </is>
      </c>
      <c r="B30" t="inlineStr">
        <is>
          <t>Deep Cycle Marine 27DC</t>
        </is>
      </c>
      <c r="C30" t="inlineStr">
        <is>
          <t>Store-Brooklyn</t>
        </is>
      </c>
      <c r="D30" t="inlineStr">
        <is>
          <t>Store-Stamford</t>
        </is>
      </c>
      <c r="E30" s="10" t="n">
        <v>79</v>
      </c>
      <c r="F30" s="10" t="n">
        <v>44</v>
      </c>
      <c r="G30" s="10" t="n">
        <v>12</v>
      </c>
      <c r="H30" s="10" t="n">
        <v>16</v>
      </c>
      <c r="I30" s="10" t="n">
        <v>9</v>
      </c>
      <c r="J30" s="11" t="n">
        <v>147.53</v>
      </c>
      <c r="K30" s="11" t="n">
        <v>62.65</v>
      </c>
      <c r="L30" s="11" t="n">
        <v>464.72</v>
      </c>
      <c r="M30" s="11" t="n">
        <v>402.07</v>
      </c>
      <c r="N30" t="inlineStr">
        <is>
          <t>Transfer Recommended</t>
        </is>
      </c>
    </row>
    <row r="31">
      <c r="A31" t="inlineStr">
        <is>
          <t>B-1045</t>
        </is>
      </c>
      <c r="B31" t="inlineStr">
        <is>
          <t>Deep Cycle Marine 27DC</t>
        </is>
      </c>
      <c r="C31" t="inlineStr">
        <is>
          <t>Store-Brooklyn</t>
        </is>
      </c>
      <c r="D31" t="inlineStr">
        <is>
          <t>Store-Stamford</t>
        </is>
      </c>
      <c r="E31" s="10" t="n">
        <v>79</v>
      </c>
      <c r="F31" s="10" t="n">
        <v>44</v>
      </c>
      <c r="G31" s="10" t="n">
        <v>12</v>
      </c>
      <c r="H31" s="10" t="n">
        <v>16</v>
      </c>
      <c r="I31" s="10" t="n">
        <v>9</v>
      </c>
      <c r="J31" s="11" t="n">
        <v>144.23</v>
      </c>
      <c r="K31" s="11" t="n">
        <v>62.65</v>
      </c>
      <c r="L31" s="11" t="n">
        <v>454.32</v>
      </c>
      <c r="M31" s="11" t="n">
        <v>391.67</v>
      </c>
      <c r="N31" t="inlineStr">
        <is>
          <t>Transfer Recommended</t>
        </is>
      </c>
    </row>
    <row r="32">
      <c r="A32" t="inlineStr">
        <is>
          <t>B-1045</t>
        </is>
      </c>
      <c r="B32" t="inlineStr">
        <is>
          <t>Deep Cycle Marine 27DC</t>
        </is>
      </c>
      <c r="C32" t="inlineStr">
        <is>
          <t>Store-Brooklyn</t>
        </is>
      </c>
      <c r="D32" t="inlineStr">
        <is>
          <t>Store-Manhattan</t>
        </is>
      </c>
      <c r="E32" s="10" t="n">
        <v>79</v>
      </c>
      <c r="F32" s="10" t="n">
        <v>38</v>
      </c>
      <c r="G32" s="10" t="n">
        <v>10</v>
      </c>
      <c r="H32" s="10" t="n">
        <v>18</v>
      </c>
      <c r="I32" s="10" t="n">
        <v>9</v>
      </c>
      <c r="J32" s="11" t="n">
        <v>144.23</v>
      </c>
      <c r="K32" s="11" t="n">
        <v>62.65</v>
      </c>
      <c r="L32" s="11" t="n">
        <v>454.32</v>
      </c>
      <c r="M32" s="11" t="n">
        <v>391.67</v>
      </c>
      <c r="N32" t="inlineStr">
        <is>
          <t>Transfer Recommended</t>
        </is>
      </c>
    </row>
    <row r="33">
      <c r="A33" t="inlineStr">
        <is>
          <t>T-1065</t>
        </is>
      </c>
      <c r="B33" t="inlineStr">
        <is>
          <t>Hydraulic Floor Jack 3-Ton</t>
        </is>
      </c>
      <c r="C33" t="inlineStr">
        <is>
          <t>DC-NY</t>
        </is>
      </c>
      <c r="D33" t="inlineStr">
        <is>
          <t>Store-Bronx</t>
        </is>
      </c>
      <c r="E33" s="10" t="n">
        <v>60</v>
      </c>
      <c r="F33" s="10" t="n">
        <v>13</v>
      </c>
      <c r="G33" s="10" t="n">
        <v>13</v>
      </c>
      <c r="H33" s="10" t="n">
        <v>8</v>
      </c>
      <c r="I33" s="10" t="n">
        <v>7</v>
      </c>
      <c r="J33" s="11" t="n">
        <v>167.83</v>
      </c>
      <c r="K33" s="11" t="n">
        <v>69.5</v>
      </c>
      <c r="L33" s="11" t="n">
        <v>411.18</v>
      </c>
      <c r="M33" s="11" t="n">
        <v>341.68</v>
      </c>
      <c r="N33" t="inlineStr">
        <is>
          <t>Transfer Recommended</t>
        </is>
      </c>
    </row>
    <row r="34">
      <c r="A34" t="inlineStr">
        <is>
          <t>T-1037</t>
        </is>
      </c>
      <c r="B34" t="inlineStr">
        <is>
          <t>Hydraulic Floor Jack 3-Ton</t>
        </is>
      </c>
      <c r="C34" t="inlineStr">
        <is>
          <t>DC-NJ</t>
        </is>
      </c>
      <c r="D34" t="inlineStr">
        <is>
          <t>Store-Bronx</t>
        </is>
      </c>
      <c r="E34" s="10" t="n">
        <v>56</v>
      </c>
      <c r="F34" s="10" t="n">
        <v>13</v>
      </c>
      <c r="G34" s="10" t="n">
        <v>13</v>
      </c>
      <c r="H34" s="10" t="n">
        <v>8</v>
      </c>
      <c r="I34" s="10" t="n">
        <v>7</v>
      </c>
      <c r="J34" s="11" t="n">
        <v>161.87</v>
      </c>
      <c r="K34" s="11" t="n">
        <v>69.5</v>
      </c>
      <c r="L34" s="11" t="n">
        <v>396.58</v>
      </c>
      <c r="M34" s="11" t="n">
        <v>327.08</v>
      </c>
      <c r="N34" t="inlineStr">
        <is>
          <t>Transfer Recommended</t>
        </is>
      </c>
    </row>
    <row r="35">
      <c r="A35" t="inlineStr">
        <is>
          <t>B-1022</t>
        </is>
      </c>
      <c r="B35" t="inlineStr">
        <is>
          <t>Mavis PowerStart 24F</t>
        </is>
      </c>
      <c r="C35" t="inlineStr">
        <is>
          <t>Store-WhitePlains</t>
        </is>
      </c>
      <c r="D35" t="inlineStr">
        <is>
          <t>DC-PA</t>
        </is>
      </c>
      <c r="E35" s="10" t="n">
        <v>59</v>
      </c>
      <c r="F35" s="10" t="n">
        <v>79</v>
      </c>
      <c r="G35" s="10" t="n">
        <v>18</v>
      </c>
      <c r="H35" s="10" t="n">
        <v>19</v>
      </c>
      <c r="I35" s="10" t="n">
        <v>9</v>
      </c>
      <c r="J35" s="11" t="n">
        <v>124.82</v>
      </c>
      <c r="K35" s="11" t="n">
        <v>74.55</v>
      </c>
      <c r="L35" s="11" t="n">
        <v>393.18</v>
      </c>
      <c r="M35" s="11" t="n">
        <v>318.63</v>
      </c>
      <c r="N35" t="inlineStr">
        <is>
          <t>Transfer Recommended</t>
        </is>
      </c>
    </row>
    <row r="36">
      <c r="A36" t="inlineStr">
        <is>
          <t>T-1072</t>
        </is>
      </c>
      <c r="B36" t="inlineStr">
        <is>
          <t>Mavis Sport Grip 245/40R18</t>
        </is>
      </c>
      <c r="C36" t="inlineStr">
        <is>
          <t>Store-Newark</t>
        </is>
      </c>
      <c r="D36" t="inlineStr">
        <is>
          <t>Store-Queens</t>
        </is>
      </c>
      <c r="E36" s="10" t="n">
        <v>57</v>
      </c>
      <c r="F36" s="10" t="n">
        <v>19</v>
      </c>
      <c r="G36" s="10" t="n">
        <v>14</v>
      </c>
      <c r="H36" s="10" t="n">
        <v>12</v>
      </c>
      <c r="I36" s="10" t="n">
        <v>8</v>
      </c>
      <c r="J36" s="11" t="n">
        <v>130.71</v>
      </c>
      <c r="K36" s="11" t="n">
        <v>58.8</v>
      </c>
      <c r="L36" s="11" t="n">
        <v>365.99</v>
      </c>
      <c r="M36" s="11" t="n">
        <v>307.19</v>
      </c>
      <c r="N36" t="inlineStr">
        <is>
          <t>Transfer Recommended</t>
        </is>
      </c>
    </row>
    <row r="37">
      <c r="A37" t="inlineStr">
        <is>
          <t>T-1072</t>
        </is>
      </c>
      <c r="B37" t="inlineStr">
        <is>
          <t>Mavis Sport Grip 245/40R18</t>
        </is>
      </c>
      <c r="C37" t="inlineStr">
        <is>
          <t>Store-Newark</t>
        </is>
      </c>
      <c r="D37" t="inlineStr">
        <is>
          <t>Store-Queens</t>
        </is>
      </c>
      <c r="E37" s="10" t="n">
        <v>57</v>
      </c>
      <c r="F37" s="10" t="n">
        <v>71</v>
      </c>
      <c r="G37" s="10" t="n">
        <v>14</v>
      </c>
      <c r="H37" s="10" t="n">
        <v>10</v>
      </c>
      <c r="I37" s="10" t="n">
        <v>7</v>
      </c>
      <c r="J37" s="11" t="n">
        <v>130.71</v>
      </c>
      <c r="K37" s="11" t="n">
        <v>54.95</v>
      </c>
      <c r="L37" s="11" t="n">
        <v>320.24</v>
      </c>
      <c r="M37" s="11" t="n">
        <v>265.29</v>
      </c>
      <c r="N37" t="inlineStr">
        <is>
          <t>Transfer Recommended</t>
        </is>
      </c>
    </row>
    <row r="38">
      <c r="A38" t="inlineStr">
        <is>
          <t>BP-1075</t>
        </is>
      </c>
      <c r="B38" t="inlineStr">
        <is>
          <t>Vented Brake Rotor 11.8in</t>
        </is>
      </c>
      <c r="C38" t="inlineStr">
        <is>
          <t>DC-NY</t>
        </is>
      </c>
      <c r="D38" t="inlineStr">
        <is>
          <t>DC-NJ</t>
        </is>
      </c>
      <c r="E38" s="10" t="n">
        <v>84</v>
      </c>
      <c r="F38" s="10" t="n">
        <v>0</v>
      </c>
      <c r="G38" s="10" t="n">
        <v>9</v>
      </c>
      <c r="H38" s="10" t="n">
        <v>16</v>
      </c>
      <c r="I38" s="10" t="n">
        <v>18</v>
      </c>
      <c r="J38" s="11" t="n">
        <v>50.61</v>
      </c>
      <c r="K38" s="11" t="n">
        <v>79.59999999999999</v>
      </c>
      <c r="L38" s="11" t="n">
        <v>318.84</v>
      </c>
      <c r="M38" s="11" t="n">
        <v>239.24</v>
      </c>
      <c r="N38" t="inlineStr">
        <is>
          <t>Transfer Recommended</t>
        </is>
      </c>
    </row>
    <row r="39">
      <c r="A39" t="inlineStr">
        <is>
          <t>B-1098</t>
        </is>
      </c>
      <c r="B39" t="inlineStr">
        <is>
          <t>Mavis PowerStart 24F</t>
        </is>
      </c>
      <c r="C39" t="inlineStr">
        <is>
          <t>DC-PA</t>
        </is>
      </c>
      <c r="D39" t="inlineStr">
        <is>
          <t>Store-WhitePlains</t>
        </is>
      </c>
      <c r="E39" s="10" t="n">
        <v>79</v>
      </c>
      <c r="F39" s="10" t="n">
        <v>38</v>
      </c>
      <c r="G39" s="10" t="n">
        <v>19</v>
      </c>
      <c r="H39" s="10" t="n">
        <v>8</v>
      </c>
      <c r="I39" s="10" t="n">
        <v>7</v>
      </c>
      <c r="J39" s="11" t="n">
        <v>122.03</v>
      </c>
      <c r="K39" s="11" t="n">
        <v>69.5</v>
      </c>
      <c r="L39" s="11" t="n">
        <v>298.97</v>
      </c>
      <c r="M39" s="11" t="n">
        <v>229.47</v>
      </c>
      <c r="N39" t="inlineStr">
        <is>
          <t>Transfer Recommended</t>
        </is>
      </c>
    </row>
    <row r="40">
      <c r="A40" t="inlineStr">
        <is>
          <t>BP-1048</t>
        </is>
      </c>
      <c r="B40" t="inlineStr">
        <is>
          <t>Reman Brake Caliper - Rear</t>
        </is>
      </c>
      <c r="C40" t="inlineStr">
        <is>
          <t>Store-Newark</t>
        </is>
      </c>
      <c r="D40" t="inlineStr">
        <is>
          <t>Store-Manhattan</t>
        </is>
      </c>
      <c r="E40" s="10" t="n">
        <v>65</v>
      </c>
      <c r="F40" s="10" t="n">
        <v>24</v>
      </c>
      <c r="G40" s="10" t="n">
        <v>10</v>
      </c>
      <c r="H40" s="10" t="n">
        <v>22</v>
      </c>
      <c r="I40" s="10" t="n">
        <v>10</v>
      </c>
      <c r="J40" s="11" t="n">
        <v>70.08</v>
      </c>
      <c r="K40" s="11" t="n">
        <v>66.5</v>
      </c>
      <c r="L40" s="11" t="n">
        <v>245.28</v>
      </c>
      <c r="M40" s="11" t="n">
        <v>178.78</v>
      </c>
      <c r="N40" t="inlineStr">
        <is>
          <t>Transfer Recommended</t>
        </is>
      </c>
    </row>
    <row r="41">
      <c r="A41" t="inlineStr">
        <is>
          <t>A-1108</t>
        </is>
      </c>
      <c r="B41" t="inlineStr">
        <is>
          <t>LED Headlight Bulb H11 Pair</t>
        </is>
      </c>
      <c r="C41" t="inlineStr">
        <is>
          <t>Store-Brooklyn</t>
        </is>
      </c>
      <c r="D41" t="inlineStr">
        <is>
          <t>Store-Queens</t>
        </is>
      </c>
      <c r="E41" s="10" t="n">
        <v>84</v>
      </c>
      <c r="F41" s="10" t="n">
        <v>0</v>
      </c>
      <c r="G41" s="10" t="n">
        <v>11</v>
      </c>
      <c r="H41" s="10" t="n">
        <v>32</v>
      </c>
      <c r="I41" s="10" t="n">
        <v>21</v>
      </c>
      <c r="J41" s="11" t="n">
        <v>38.66</v>
      </c>
      <c r="K41" s="11" t="n">
        <v>108.85</v>
      </c>
      <c r="L41" s="11" t="n">
        <v>284.15</v>
      </c>
      <c r="M41" s="11" t="n">
        <v>175.3</v>
      </c>
      <c r="N41" t="inlineStr">
        <is>
          <t>Transfer Recommended</t>
        </is>
      </c>
    </row>
    <row r="42">
      <c r="A42" t="inlineStr">
        <is>
          <t>A-1047</t>
        </is>
      </c>
      <c r="B42" t="inlineStr">
        <is>
          <t>All-Weather Floor Mat Set</t>
        </is>
      </c>
      <c r="C42" t="inlineStr">
        <is>
          <t>Store-Yonkers</t>
        </is>
      </c>
      <c r="D42" t="inlineStr">
        <is>
          <t>Store-Stamford</t>
        </is>
      </c>
      <c r="E42" s="10" t="n">
        <v>88</v>
      </c>
      <c r="F42" s="10" t="n">
        <v>7</v>
      </c>
      <c r="G42" s="10" t="n">
        <v>9</v>
      </c>
      <c r="H42" s="10" t="n">
        <v>29</v>
      </c>
      <c r="I42" s="10" t="n">
        <v>14</v>
      </c>
      <c r="J42" s="11" t="n">
        <v>50.46</v>
      </c>
      <c r="K42" s="11" t="n">
        <v>81.90000000000001</v>
      </c>
      <c r="L42" s="11" t="n">
        <v>247.25</v>
      </c>
      <c r="M42" s="11" t="n">
        <v>165.35</v>
      </c>
      <c r="N42" t="inlineStr">
        <is>
          <t>Transfer Recommended</t>
        </is>
      </c>
    </row>
    <row r="43">
      <c r="A43" t="inlineStr">
        <is>
          <t>BP-1075</t>
        </is>
      </c>
      <c r="B43" t="inlineStr">
        <is>
          <t>Vented Brake Rotor 11.8in</t>
        </is>
      </c>
      <c r="C43" t="inlineStr">
        <is>
          <t>DC-NY</t>
        </is>
      </c>
      <c r="D43" t="inlineStr">
        <is>
          <t>Store-Manhattan</t>
        </is>
      </c>
      <c r="E43" s="10" t="n">
        <v>84</v>
      </c>
      <c r="F43" s="10" t="n">
        <v>21</v>
      </c>
      <c r="G43" s="10" t="n">
        <v>18</v>
      </c>
      <c r="H43" s="10" t="n">
        <v>34</v>
      </c>
      <c r="I43" s="10" t="n">
        <v>13</v>
      </c>
      <c r="J43" s="11" t="n">
        <v>50.61</v>
      </c>
      <c r="K43" s="11" t="n">
        <v>84.5</v>
      </c>
      <c r="L43" s="11" t="n">
        <v>230.28</v>
      </c>
      <c r="M43" s="11" t="n">
        <v>145.78</v>
      </c>
      <c r="N43" t="inlineStr">
        <is>
          <t>Transfer Recommended</t>
        </is>
      </c>
    </row>
    <row r="44">
      <c r="A44" t="inlineStr">
        <is>
          <t>T-1044</t>
        </is>
      </c>
      <c r="B44" t="inlineStr">
        <is>
          <t>3/8in Drive Socket Set 40pc</t>
        </is>
      </c>
      <c r="C44" t="inlineStr">
        <is>
          <t>Store-Yonkers</t>
        </is>
      </c>
      <c r="D44" t="inlineStr">
        <is>
          <t>Store-Manhattan</t>
        </is>
      </c>
      <c r="E44" s="10" t="n">
        <v>45</v>
      </c>
      <c r="F44" s="10" t="n">
        <v>0</v>
      </c>
      <c r="G44" s="10" t="n">
        <v>13</v>
      </c>
      <c r="H44" s="10" t="n">
        <v>11</v>
      </c>
      <c r="I44" s="10" t="n">
        <v>11</v>
      </c>
      <c r="J44" s="11" t="n">
        <v>55.6</v>
      </c>
      <c r="K44" s="11" t="n">
        <v>70.34999999999999</v>
      </c>
      <c r="L44" s="11" t="n">
        <v>214.06</v>
      </c>
      <c r="M44" s="11" t="n">
        <v>143.71</v>
      </c>
      <c r="N44" t="inlineStr">
        <is>
          <t>Transfer Recommended</t>
        </is>
      </c>
    </row>
    <row r="45">
      <c r="A45" t="inlineStr">
        <is>
          <t>T-1044</t>
        </is>
      </c>
      <c r="B45" t="inlineStr">
        <is>
          <t>3/8in Drive Socket Set 40pc</t>
        </is>
      </c>
      <c r="C45" t="inlineStr">
        <is>
          <t>Store-Yonkers</t>
        </is>
      </c>
      <c r="D45" t="inlineStr">
        <is>
          <t>DC-PA</t>
        </is>
      </c>
      <c r="E45" s="10" t="n">
        <v>45</v>
      </c>
      <c r="F45" s="10" t="n">
        <v>13</v>
      </c>
      <c r="G45" s="10" t="n">
        <v>10</v>
      </c>
      <c r="H45" s="10" t="n">
        <v>34</v>
      </c>
      <c r="I45" s="10" t="n">
        <v>11</v>
      </c>
      <c r="J45" s="11" t="n">
        <v>55.6</v>
      </c>
      <c r="K45" s="11" t="n">
        <v>80.45</v>
      </c>
      <c r="L45" s="11" t="n">
        <v>214.06</v>
      </c>
      <c r="M45" s="11" t="n">
        <v>133.61</v>
      </c>
      <c r="N45" t="inlineStr">
        <is>
          <t>Transfer Recommended</t>
        </is>
      </c>
    </row>
    <row r="46">
      <c r="A46" t="inlineStr">
        <is>
          <t>BP-1020</t>
        </is>
      </c>
      <c r="B46" t="inlineStr">
        <is>
          <t>Vented Brake Rotor 11.8in</t>
        </is>
      </c>
      <c r="C46" t="inlineStr">
        <is>
          <t>Store-Queens</t>
        </is>
      </c>
      <c r="D46" t="inlineStr">
        <is>
          <t>Store-Manhattan</t>
        </is>
      </c>
      <c r="E46" s="10" t="n">
        <v>47</v>
      </c>
      <c r="F46" s="10" t="n">
        <v>21</v>
      </c>
      <c r="G46" s="10" t="n">
        <v>18</v>
      </c>
      <c r="H46" s="10" t="n">
        <v>34</v>
      </c>
      <c r="I46" s="10" t="n">
        <v>12</v>
      </c>
      <c r="J46" s="11" t="n">
        <v>46.88</v>
      </c>
      <c r="K46" s="11" t="n">
        <v>74.2</v>
      </c>
      <c r="L46" s="11" t="n">
        <v>196.9</v>
      </c>
      <c r="M46" s="11" t="n">
        <v>122.7</v>
      </c>
      <c r="N46" t="inlineStr">
        <is>
          <t>Transfer Recommended</t>
        </is>
      </c>
    </row>
    <row r="47">
      <c r="A47" t="inlineStr">
        <is>
          <t>BP-1020</t>
        </is>
      </c>
      <c r="B47" t="inlineStr">
        <is>
          <t>Vented Brake Rotor 11.8in</t>
        </is>
      </c>
      <c r="C47" t="inlineStr">
        <is>
          <t>Store-Queens</t>
        </is>
      </c>
      <c r="D47" t="inlineStr">
        <is>
          <t>DC-NJ</t>
        </is>
      </c>
      <c r="E47" s="10" t="n">
        <v>47</v>
      </c>
      <c r="F47" s="10" t="n">
        <v>0</v>
      </c>
      <c r="G47" s="10" t="n">
        <v>9</v>
      </c>
      <c r="H47" s="10" t="n">
        <v>16</v>
      </c>
      <c r="I47" s="10" t="n">
        <v>12</v>
      </c>
      <c r="J47" s="11" t="n">
        <v>46.88</v>
      </c>
      <c r="K47" s="11" t="n">
        <v>83.40000000000001</v>
      </c>
      <c r="L47" s="11" t="n">
        <v>196.9</v>
      </c>
      <c r="M47" s="11" t="n">
        <v>113.5</v>
      </c>
      <c r="N47" t="inlineStr">
        <is>
          <t>Transfer Recommended</t>
        </is>
      </c>
    </row>
    <row r="48">
      <c r="A48" t="inlineStr">
        <is>
          <t>BP-1020</t>
        </is>
      </c>
      <c r="B48" t="inlineStr">
        <is>
          <t>Vented Brake Rotor 11.8in</t>
        </is>
      </c>
      <c r="C48" t="inlineStr">
        <is>
          <t>Store-Queens</t>
        </is>
      </c>
      <c r="D48" t="inlineStr">
        <is>
          <t>DC-NY</t>
        </is>
      </c>
      <c r="E48" s="10" t="n">
        <v>47</v>
      </c>
      <c r="F48" s="10" t="n">
        <v>84</v>
      </c>
      <c r="G48" s="10" t="n">
        <v>18</v>
      </c>
      <c r="H48" s="10" t="n">
        <v>33</v>
      </c>
      <c r="I48" s="10" t="n">
        <v>12</v>
      </c>
      <c r="J48" s="11" t="n">
        <v>46.88</v>
      </c>
      <c r="K48" s="11" t="n">
        <v>83.40000000000001</v>
      </c>
      <c r="L48" s="11" t="n">
        <v>196.9</v>
      </c>
      <c r="M48" s="11" t="n">
        <v>113.5</v>
      </c>
      <c r="N48" t="inlineStr">
        <is>
          <t>Transfer Recommended</t>
        </is>
      </c>
    </row>
    <row r="49">
      <c r="A49" t="inlineStr">
        <is>
          <t>BP-1075</t>
        </is>
      </c>
      <c r="B49" t="inlineStr">
        <is>
          <t>Vented Brake Rotor 11.8in</t>
        </is>
      </c>
      <c r="C49" t="inlineStr">
        <is>
          <t>DC-NY</t>
        </is>
      </c>
      <c r="D49" t="inlineStr">
        <is>
          <t>Store-Queens</t>
        </is>
      </c>
      <c r="E49" s="10" t="n">
        <v>84</v>
      </c>
      <c r="F49" s="10" t="n">
        <v>47</v>
      </c>
      <c r="G49" s="10" t="n">
        <v>11</v>
      </c>
      <c r="H49" s="10" t="n">
        <v>21</v>
      </c>
      <c r="I49" s="10" t="n">
        <v>10</v>
      </c>
      <c r="J49" s="11" t="n">
        <v>50.61</v>
      </c>
      <c r="K49" s="11" t="n">
        <v>77</v>
      </c>
      <c r="L49" s="11" t="n">
        <v>177.13</v>
      </c>
      <c r="M49" s="11" t="n">
        <v>100.13</v>
      </c>
      <c r="N49" t="inlineStr">
        <is>
          <t>Transfer Recommended</t>
        </is>
      </c>
    </row>
    <row r="50">
      <c r="A50" t="inlineStr">
        <is>
          <t>A-1108</t>
        </is>
      </c>
      <c r="B50" t="inlineStr">
        <is>
          <t>LED Headlight Bulb H11 Pair</t>
        </is>
      </c>
      <c r="C50" t="inlineStr">
        <is>
          <t>Store-Brooklyn</t>
        </is>
      </c>
      <c r="D50" t="inlineStr">
        <is>
          <t>Store-Yonkers</t>
        </is>
      </c>
      <c r="E50" s="10" t="n">
        <v>84</v>
      </c>
      <c r="F50" s="10" t="n">
        <v>39</v>
      </c>
      <c r="G50" s="10" t="n">
        <v>12</v>
      </c>
      <c r="H50" s="10" t="n">
        <v>34</v>
      </c>
      <c r="I50" s="10" t="n">
        <v>13</v>
      </c>
      <c r="J50" s="11" t="n">
        <v>38.66</v>
      </c>
      <c r="K50" s="11" t="n">
        <v>78.05</v>
      </c>
      <c r="L50" s="11" t="n">
        <v>175.9</v>
      </c>
      <c r="M50" s="11" t="n">
        <v>97.84999999999999</v>
      </c>
      <c r="N50" t="inlineStr">
        <is>
          <t>Transfer Recommended</t>
        </is>
      </c>
    </row>
    <row r="51">
      <c r="A51" t="inlineStr">
        <is>
          <t>T-1066</t>
        </is>
      </c>
      <c r="B51" t="inlineStr">
        <is>
          <t>Hydraulic Floor Jack 3-Ton</t>
        </is>
      </c>
      <c r="C51" t="inlineStr">
        <is>
          <t>Store-Newark</t>
        </is>
      </c>
      <c r="D51" t="inlineStr">
        <is>
          <t>Store-Bronx</t>
        </is>
      </c>
      <c r="E51" s="10" t="n">
        <v>57</v>
      </c>
      <c r="F51" s="10" t="n">
        <v>13</v>
      </c>
      <c r="G51" s="10" t="n">
        <v>13</v>
      </c>
      <c r="H51" s="10" t="n">
        <v>8</v>
      </c>
      <c r="I51" s="10" t="n">
        <v>2</v>
      </c>
      <c r="J51" s="11" t="n">
        <v>161.94</v>
      </c>
      <c r="K51" s="11" t="n">
        <v>35.7</v>
      </c>
      <c r="L51" s="11" t="n">
        <v>113.36</v>
      </c>
      <c r="M51" s="11" t="n">
        <v>77.66</v>
      </c>
      <c r="N51" t="inlineStr">
        <is>
          <t>Transfer Recommended</t>
        </is>
      </c>
    </row>
    <row r="52">
      <c r="A52" t="inlineStr">
        <is>
          <t>F-1104</t>
        </is>
      </c>
      <c r="B52" t="inlineStr">
        <is>
          <t>Synthetic Motor Oil 5W-30 5qt</t>
        </is>
      </c>
      <c r="C52" t="inlineStr">
        <is>
          <t>Store-Manhattan</t>
        </is>
      </c>
      <c r="D52" t="inlineStr">
        <is>
          <t>Store-Queens</t>
        </is>
      </c>
      <c r="E52" s="10" t="n">
        <v>77</v>
      </c>
      <c r="F52" s="10" t="n">
        <v>7</v>
      </c>
      <c r="G52" s="10" t="n">
        <v>14</v>
      </c>
      <c r="H52" s="10" t="n">
        <v>15</v>
      </c>
      <c r="I52" s="10" t="n">
        <v>15</v>
      </c>
      <c r="J52" s="11" t="n">
        <v>29.75</v>
      </c>
      <c r="K52" s="11" t="n">
        <v>85.75</v>
      </c>
      <c r="L52" s="11" t="n">
        <v>156.19</v>
      </c>
      <c r="M52" s="11" t="n">
        <v>70.44</v>
      </c>
      <c r="N52" t="inlineStr">
        <is>
          <t>Transfer Recommended</t>
        </is>
      </c>
    </row>
    <row r="53">
      <c r="A53" t="inlineStr">
        <is>
          <t>F-1060</t>
        </is>
      </c>
      <c r="B53" t="inlineStr">
        <is>
          <t>Synthetic Motor Oil 5W-30 5qt</t>
        </is>
      </c>
      <c r="C53" t="inlineStr">
        <is>
          <t>Store-Newark</t>
        </is>
      </c>
      <c r="D53" t="inlineStr">
        <is>
          <t>Store-Queens</t>
        </is>
      </c>
      <c r="E53" s="10" t="n">
        <v>68</v>
      </c>
      <c r="F53" s="10" t="n">
        <v>7</v>
      </c>
      <c r="G53" s="10" t="n">
        <v>14</v>
      </c>
      <c r="H53" s="10" t="n">
        <v>15</v>
      </c>
      <c r="I53" s="10" t="n">
        <v>15</v>
      </c>
      <c r="J53" s="11" t="n">
        <v>29.64</v>
      </c>
      <c r="K53" s="11" t="n">
        <v>85.75</v>
      </c>
      <c r="L53" s="11" t="n">
        <v>155.61</v>
      </c>
      <c r="M53" s="11" t="n">
        <v>69.86</v>
      </c>
      <c r="N53" t="inlineStr">
        <is>
          <t>Transfer Recommended</t>
        </is>
      </c>
    </row>
    <row r="54">
      <c r="A54" t="inlineStr">
        <is>
          <t>A-1108</t>
        </is>
      </c>
      <c r="B54" t="inlineStr">
        <is>
          <t>LED Headlight Bulb H11 Pair</t>
        </is>
      </c>
      <c r="C54" t="inlineStr">
        <is>
          <t>Store-Brooklyn</t>
        </is>
      </c>
      <c r="D54" t="inlineStr">
        <is>
          <t>DC-NJ</t>
        </is>
      </c>
      <c r="E54" s="10" t="n">
        <v>84</v>
      </c>
      <c r="F54" s="10" t="n">
        <v>48</v>
      </c>
      <c r="G54" s="10" t="n">
        <v>9</v>
      </c>
      <c r="H54" s="10" t="n">
        <v>25</v>
      </c>
      <c r="I54" s="10" t="n">
        <v>11</v>
      </c>
      <c r="J54" s="11" t="n">
        <v>38.66</v>
      </c>
      <c r="K54" s="11" t="n">
        <v>80.45</v>
      </c>
      <c r="L54" s="11" t="n">
        <v>148.84</v>
      </c>
      <c r="M54" s="11" t="n">
        <v>68.39</v>
      </c>
      <c r="N54" t="inlineStr">
        <is>
          <t>Transfer Recommended</t>
        </is>
      </c>
    </row>
    <row r="55">
      <c r="A55" t="inlineStr">
        <is>
          <t>F-1061</t>
        </is>
      </c>
      <c r="B55" t="inlineStr">
        <is>
          <t>Synthetic Motor Oil 5W-30 5qt</t>
        </is>
      </c>
      <c r="C55" t="inlineStr">
        <is>
          <t>Store-Stamford</t>
        </is>
      </c>
      <c r="D55" t="inlineStr">
        <is>
          <t>Store-Queens</t>
        </is>
      </c>
      <c r="E55" s="10" t="n">
        <v>68</v>
      </c>
      <c r="F55" s="10" t="n">
        <v>7</v>
      </c>
      <c r="G55" s="10" t="n">
        <v>14</v>
      </c>
      <c r="H55" s="10" t="n">
        <v>15</v>
      </c>
      <c r="I55" s="10" t="n">
        <v>15</v>
      </c>
      <c r="J55" s="11" t="n">
        <v>29.26</v>
      </c>
      <c r="K55" s="11" t="n">
        <v>85.75</v>
      </c>
      <c r="L55" s="11" t="n">
        <v>153.62</v>
      </c>
      <c r="M55" s="11" t="n">
        <v>67.87</v>
      </c>
      <c r="N55" t="inlineStr">
        <is>
          <t>Transfer Recommended</t>
        </is>
      </c>
    </row>
    <row r="56">
      <c r="A56" t="inlineStr">
        <is>
          <t>T-1044</t>
        </is>
      </c>
      <c r="B56" t="inlineStr">
        <is>
          <t>3/8in Drive Socket Set 40pc</t>
        </is>
      </c>
      <c r="C56" t="inlineStr">
        <is>
          <t>Store-Yonkers</t>
        </is>
      </c>
      <c r="D56" t="inlineStr">
        <is>
          <t>DC-NY</t>
        </is>
      </c>
      <c r="E56" s="10" t="n">
        <v>45</v>
      </c>
      <c r="F56" s="10" t="n">
        <v>41</v>
      </c>
      <c r="G56" s="10" t="n">
        <v>10</v>
      </c>
      <c r="H56" s="10" t="n">
        <v>9</v>
      </c>
      <c r="I56" s="10" t="n">
        <v>7</v>
      </c>
      <c r="J56" s="11" t="n">
        <v>55.6</v>
      </c>
      <c r="K56" s="11" t="n">
        <v>68.65000000000001</v>
      </c>
      <c r="L56" s="11" t="n">
        <v>136.22</v>
      </c>
      <c r="M56" s="11" t="n">
        <v>67.56999999999999</v>
      </c>
      <c r="N56" t="inlineStr">
        <is>
          <t>Transfer Recommended</t>
        </is>
      </c>
    </row>
    <row r="57">
      <c r="A57" t="inlineStr">
        <is>
          <t>BP-1004</t>
        </is>
      </c>
      <c r="B57" t="inlineStr">
        <is>
          <t>Ceramic Brake Pad Set - Front</t>
        </is>
      </c>
      <c r="C57" t="inlineStr">
        <is>
          <t>Store-Queens</t>
        </is>
      </c>
      <c r="D57" t="inlineStr">
        <is>
          <t>Store-WhitePlains</t>
        </is>
      </c>
      <c r="E57" s="10" t="n">
        <v>72</v>
      </c>
      <c r="F57" s="10" t="n">
        <v>46</v>
      </c>
      <c r="G57" s="10" t="n">
        <v>16</v>
      </c>
      <c r="H57" s="10" t="n">
        <v>30</v>
      </c>
      <c r="I57" s="10" t="n">
        <v>12</v>
      </c>
      <c r="J57" s="11" t="n">
        <v>32.98</v>
      </c>
      <c r="K57" s="11" t="n">
        <v>74.2</v>
      </c>
      <c r="L57" s="11" t="n">
        <v>138.52</v>
      </c>
      <c r="M57" s="11" t="n">
        <v>64.31999999999999</v>
      </c>
      <c r="N57" t="inlineStr">
        <is>
          <t>Transfer Recommended</t>
        </is>
      </c>
    </row>
    <row r="58">
      <c r="A58" t="inlineStr">
        <is>
          <t>F-1104</t>
        </is>
      </c>
      <c r="B58" t="inlineStr">
        <is>
          <t>Synthetic Motor Oil 5W-30 5qt</t>
        </is>
      </c>
      <c r="C58" t="inlineStr">
        <is>
          <t>Store-Manhattan</t>
        </is>
      </c>
      <c r="D58" t="inlineStr">
        <is>
          <t>Store-Newark</t>
        </is>
      </c>
      <c r="E58" s="10" t="n">
        <v>77</v>
      </c>
      <c r="F58" s="10" t="n">
        <v>3</v>
      </c>
      <c r="G58" s="10" t="n">
        <v>12</v>
      </c>
      <c r="H58" s="10" t="n">
        <v>1</v>
      </c>
      <c r="I58" s="10" t="n">
        <v>14</v>
      </c>
      <c r="J58" s="11" t="n">
        <v>29.75</v>
      </c>
      <c r="K58" s="11" t="n">
        <v>81.90000000000001</v>
      </c>
      <c r="L58" s="11" t="n">
        <v>145.77</v>
      </c>
      <c r="M58" s="11" t="n">
        <v>63.87</v>
      </c>
      <c r="N58" t="inlineStr">
        <is>
          <t>Transfer Recommended</t>
        </is>
      </c>
    </row>
    <row r="59">
      <c r="A59" t="inlineStr">
        <is>
          <t>B-1054</t>
        </is>
      </c>
      <c r="B59" t="inlineStr">
        <is>
          <t>Deep Cycle Marine 27DC</t>
        </is>
      </c>
      <c r="C59" t="inlineStr">
        <is>
          <t>Store-Yonkers</t>
        </is>
      </c>
      <c r="D59" t="inlineStr">
        <is>
          <t>Store-Stamford</t>
        </is>
      </c>
      <c r="E59" s="10" t="n">
        <v>55</v>
      </c>
      <c r="F59" s="10" t="n">
        <v>34</v>
      </c>
      <c r="G59" s="10" t="n">
        <v>14</v>
      </c>
      <c r="H59" s="10" t="n">
        <v>32</v>
      </c>
      <c r="I59" s="10" t="n">
        <v>2</v>
      </c>
      <c r="J59" s="11" t="n">
        <v>140.18</v>
      </c>
      <c r="K59" s="11" t="n">
        <v>35.7</v>
      </c>
      <c r="L59" s="11" t="n">
        <v>98.13</v>
      </c>
      <c r="M59" s="11" t="n">
        <v>62.43</v>
      </c>
      <c r="N59" t="inlineStr">
        <is>
          <t>Transfer Recommended</t>
        </is>
      </c>
    </row>
    <row r="60">
      <c r="A60" t="inlineStr">
        <is>
          <t>B-1054</t>
        </is>
      </c>
      <c r="B60" t="inlineStr">
        <is>
          <t>Deep Cycle Marine 27DC</t>
        </is>
      </c>
      <c r="C60" t="inlineStr">
        <is>
          <t>Store-Yonkers</t>
        </is>
      </c>
      <c r="D60" t="inlineStr">
        <is>
          <t>Store-Brooklyn</t>
        </is>
      </c>
      <c r="E60" s="10" t="n">
        <v>55</v>
      </c>
      <c r="F60" s="10" t="n">
        <v>79</v>
      </c>
      <c r="G60" s="10" t="n">
        <v>20</v>
      </c>
      <c r="H60" s="10" t="n">
        <v>27</v>
      </c>
      <c r="I60" s="10" t="n">
        <v>2</v>
      </c>
      <c r="J60" s="11" t="n">
        <v>140.18</v>
      </c>
      <c r="K60" s="11" t="n">
        <v>35.7</v>
      </c>
      <c r="L60" s="11" t="n">
        <v>98.13</v>
      </c>
      <c r="M60" s="11" t="n">
        <v>62.43</v>
      </c>
      <c r="N60" t="inlineStr">
        <is>
          <t>Transfer Recommended</t>
        </is>
      </c>
    </row>
    <row r="61">
      <c r="A61" t="inlineStr">
        <is>
          <t>B-1054</t>
        </is>
      </c>
      <c r="B61" t="inlineStr">
        <is>
          <t>Deep Cycle Marine 27DC</t>
        </is>
      </c>
      <c r="C61" t="inlineStr">
        <is>
          <t>Store-Yonkers</t>
        </is>
      </c>
      <c r="D61" t="inlineStr">
        <is>
          <t>Store-Brooklyn</t>
        </is>
      </c>
      <c r="E61" s="10" t="n">
        <v>55</v>
      </c>
      <c r="F61" s="10" t="n">
        <v>79</v>
      </c>
      <c r="G61" s="10" t="n">
        <v>17</v>
      </c>
      <c r="H61" s="10" t="n">
        <v>26</v>
      </c>
      <c r="I61" s="10" t="n">
        <v>2</v>
      </c>
      <c r="J61" s="11" t="n">
        <v>140.18</v>
      </c>
      <c r="K61" s="11" t="n">
        <v>35.7</v>
      </c>
      <c r="L61" s="11" t="n">
        <v>98.13</v>
      </c>
      <c r="M61" s="11" t="n">
        <v>62.43</v>
      </c>
      <c r="N61" t="inlineStr">
        <is>
          <t>Transfer Recommended</t>
        </is>
      </c>
    </row>
    <row r="62">
      <c r="A62" t="inlineStr">
        <is>
          <t>B-1054</t>
        </is>
      </c>
      <c r="B62" t="inlineStr">
        <is>
          <t>Deep Cycle Marine 27DC</t>
        </is>
      </c>
      <c r="C62" t="inlineStr">
        <is>
          <t>Store-Yonkers</t>
        </is>
      </c>
      <c r="D62" t="inlineStr">
        <is>
          <t>Store-Queens</t>
        </is>
      </c>
      <c r="E62" s="10" t="n">
        <v>55</v>
      </c>
      <c r="F62" s="10" t="n">
        <v>34</v>
      </c>
      <c r="G62" s="10" t="n">
        <v>8</v>
      </c>
      <c r="H62" s="10" t="n">
        <v>25</v>
      </c>
      <c r="I62" s="10" t="n">
        <v>2</v>
      </c>
      <c r="J62" s="11" t="n">
        <v>140.18</v>
      </c>
      <c r="K62" s="11" t="n">
        <v>35.7</v>
      </c>
      <c r="L62" s="11" t="n">
        <v>98.13</v>
      </c>
      <c r="M62" s="11" t="n">
        <v>62.43</v>
      </c>
      <c r="N62" t="inlineStr">
        <is>
          <t>Transfer Recommended</t>
        </is>
      </c>
    </row>
    <row r="63">
      <c r="A63" t="inlineStr">
        <is>
          <t>B-1054</t>
        </is>
      </c>
      <c r="B63" t="inlineStr">
        <is>
          <t>Deep Cycle Marine 27DC</t>
        </is>
      </c>
      <c r="C63" t="inlineStr">
        <is>
          <t>Store-Yonkers</t>
        </is>
      </c>
      <c r="D63" t="inlineStr">
        <is>
          <t>Store-Manhattan</t>
        </is>
      </c>
      <c r="E63" s="10" t="n">
        <v>55</v>
      </c>
      <c r="F63" s="10" t="n">
        <v>38</v>
      </c>
      <c r="G63" s="10" t="n">
        <v>10</v>
      </c>
      <c r="H63" s="10" t="n">
        <v>18</v>
      </c>
      <c r="I63" s="10" t="n">
        <v>2</v>
      </c>
      <c r="J63" s="11" t="n">
        <v>140.18</v>
      </c>
      <c r="K63" s="11" t="n">
        <v>35.7</v>
      </c>
      <c r="L63" s="11" t="n">
        <v>98.13</v>
      </c>
      <c r="M63" s="11" t="n">
        <v>62.43</v>
      </c>
      <c r="N63" t="inlineStr">
        <is>
          <t>Transfer Recommended</t>
        </is>
      </c>
    </row>
    <row r="64">
      <c r="A64" t="inlineStr">
        <is>
          <t>B-1054</t>
        </is>
      </c>
      <c r="B64" t="inlineStr">
        <is>
          <t>Deep Cycle Marine 27DC</t>
        </is>
      </c>
      <c r="C64" t="inlineStr">
        <is>
          <t>Store-Yonkers</t>
        </is>
      </c>
      <c r="D64" t="inlineStr">
        <is>
          <t>Store-Stamford</t>
        </is>
      </c>
      <c r="E64" s="10" t="n">
        <v>55</v>
      </c>
      <c r="F64" s="10" t="n">
        <v>44</v>
      </c>
      <c r="G64" s="10" t="n">
        <v>12</v>
      </c>
      <c r="H64" s="10" t="n">
        <v>16</v>
      </c>
      <c r="I64" s="10" t="n">
        <v>2</v>
      </c>
      <c r="J64" s="11" t="n">
        <v>140.18</v>
      </c>
      <c r="K64" s="11" t="n">
        <v>35.7</v>
      </c>
      <c r="L64" s="11" t="n">
        <v>98.13</v>
      </c>
      <c r="M64" s="11" t="n">
        <v>62.43</v>
      </c>
      <c r="N64" t="inlineStr">
        <is>
          <t>Transfer Recommended</t>
        </is>
      </c>
    </row>
    <row r="65">
      <c r="A65" t="inlineStr">
        <is>
          <t>B-1071</t>
        </is>
      </c>
      <c r="B65" t="inlineStr">
        <is>
          <t>Deep Cycle Marine 27DC</t>
        </is>
      </c>
      <c r="C65" t="inlineStr">
        <is>
          <t>Store-Queens</t>
        </is>
      </c>
      <c r="D65" t="inlineStr">
        <is>
          <t>Store-Brooklyn</t>
        </is>
      </c>
      <c r="E65" s="10" t="n">
        <v>34</v>
      </c>
      <c r="F65" s="10" t="n">
        <v>79</v>
      </c>
      <c r="G65" s="10" t="n">
        <v>20</v>
      </c>
      <c r="H65" s="10" t="n">
        <v>27</v>
      </c>
      <c r="I65" s="10" t="n">
        <v>2</v>
      </c>
      <c r="J65" s="11" t="n">
        <v>139.83</v>
      </c>
      <c r="K65" s="11" t="n">
        <v>35.7</v>
      </c>
      <c r="L65" s="11" t="n">
        <v>97.88</v>
      </c>
      <c r="M65" s="11" t="n">
        <v>62.18</v>
      </c>
      <c r="N65" t="inlineStr">
        <is>
          <t>Transfer Recommended</t>
        </is>
      </c>
    </row>
    <row r="66">
      <c r="A66" t="inlineStr">
        <is>
          <t>B-1071</t>
        </is>
      </c>
      <c r="B66" t="inlineStr">
        <is>
          <t>Deep Cycle Marine 27DC</t>
        </is>
      </c>
      <c r="C66" t="inlineStr">
        <is>
          <t>Store-Queens</t>
        </is>
      </c>
      <c r="D66" t="inlineStr">
        <is>
          <t>Store-Manhattan</t>
        </is>
      </c>
      <c r="E66" s="10" t="n">
        <v>34</v>
      </c>
      <c r="F66" s="10" t="n">
        <v>38</v>
      </c>
      <c r="G66" s="10" t="n">
        <v>10</v>
      </c>
      <c r="H66" s="10" t="n">
        <v>18</v>
      </c>
      <c r="I66" s="10" t="n">
        <v>2</v>
      </c>
      <c r="J66" s="11" t="n">
        <v>139.83</v>
      </c>
      <c r="K66" s="11" t="n">
        <v>35.7</v>
      </c>
      <c r="L66" s="11" t="n">
        <v>97.88</v>
      </c>
      <c r="M66" s="11" t="n">
        <v>62.18</v>
      </c>
      <c r="N66" t="inlineStr">
        <is>
          <t>Transfer Recommended</t>
        </is>
      </c>
    </row>
    <row r="67">
      <c r="A67" t="inlineStr">
        <is>
          <t>B-1071</t>
        </is>
      </c>
      <c r="B67" t="inlineStr">
        <is>
          <t>Deep Cycle Marine 27DC</t>
        </is>
      </c>
      <c r="C67" t="inlineStr">
        <is>
          <t>Store-Queens</t>
        </is>
      </c>
      <c r="D67" t="inlineStr">
        <is>
          <t>Store-Brooklyn</t>
        </is>
      </c>
      <c r="E67" s="10" t="n">
        <v>34</v>
      </c>
      <c r="F67" s="10" t="n">
        <v>79</v>
      </c>
      <c r="G67" s="10" t="n">
        <v>17</v>
      </c>
      <c r="H67" s="10" t="n">
        <v>26</v>
      </c>
      <c r="I67" s="10" t="n">
        <v>2</v>
      </c>
      <c r="J67" s="11" t="n">
        <v>139.83</v>
      </c>
      <c r="K67" s="11" t="n">
        <v>35.7</v>
      </c>
      <c r="L67" s="11" t="n">
        <v>97.88</v>
      </c>
      <c r="M67" s="11" t="n">
        <v>62.18</v>
      </c>
      <c r="N67" t="inlineStr">
        <is>
          <t>Transfer Recommended</t>
        </is>
      </c>
    </row>
    <row r="68">
      <c r="A68" t="inlineStr">
        <is>
          <t>B-1071</t>
        </is>
      </c>
      <c r="B68" t="inlineStr">
        <is>
          <t>Deep Cycle Marine 27DC</t>
        </is>
      </c>
      <c r="C68" t="inlineStr">
        <is>
          <t>Store-Queens</t>
        </is>
      </c>
      <c r="D68" t="inlineStr">
        <is>
          <t>Store-Stamford</t>
        </is>
      </c>
      <c r="E68" s="10" t="n">
        <v>34</v>
      </c>
      <c r="F68" s="10" t="n">
        <v>34</v>
      </c>
      <c r="G68" s="10" t="n">
        <v>14</v>
      </c>
      <c r="H68" s="10" t="n">
        <v>32</v>
      </c>
      <c r="I68" s="10" t="n">
        <v>2</v>
      </c>
      <c r="J68" s="11" t="n">
        <v>139.83</v>
      </c>
      <c r="K68" s="11" t="n">
        <v>35.7</v>
      </c>
      <c r="L68" s="11" t="n">
        <v>97.88</v>
      </c>
      <c r="M68" s="11" t="n">
        <v>62.18</v>
      </c>
      <c r="N68" t="inlineStr">
        <is>
          <t>Transfer Recommended</t>
        </is>
      </c>
    </row>
    <row r="69">
      <c r="A69" t="inlineStr">
        <is>
          <t>B-1071</t>
        </is>
      </c>
      <c r="B69" t="inlineStr">
        <is>
          <t>Deep Cycle Marine 27DC</t>
        </is>
      </c>
      <c r="C69" t="inlineStr">
        <is>
          <t>Store-Queens</t>
        </is>
      </c>
      <c r="D69" t="inlineStr">
        <is>
          <t>Store-Stamford</t>
        </is>
      </c>
      <c r="E69" s="10" t="n">
        <v>34</v>
      </c>
      <c r="F69" s="10" t="n">
        <v>44</v>
      </c>
      <c r="G69" s="10" t="n">
        <v>12</v>
      </c>
      <c r="H69" s="10" t="n">
        <v>16</v>
      </c>
      <c r="I69" s="10" t="n">
        <v>2</v>
      </c>
      <c r="J69" s="11" t="n">
        <v>139.83</v>
      </c>
      <c r="K69" s="11" t="n">
        <v>35.7</v>
      </c>
      <c r="L69" s="11" t="n">
        <v>97.88</v>
      </c>
      <c r="M69" s="11" t="n">
        <v>62.18</v>
      </c>
      <c r="N69" t="inlineStr">
        <is>
          <t>Transfer Recommended</t>
        </is>
      </c>
    </row>
    <row r="70">
      <c r="A70" t="inlineStr">
        <is>
          <t>B-1071</t>
        </is>
      </c>
      <c r="B70" t="inlineStr">
        <is>
          <t>Deep Cycle Marine 27DC</t>
        </is>
      </c>
      <c r="C70" t="inlineStr">
        <is>
          <t>Store-Queens</t>
        </is>
      </c>
      <c r="D70" t="inlineStr">
        <is>
          <t>Store-Yonkers</t>
        </is>
      </c>
      <c r="E70" s="10" t="n">
        <v>34</v>
      </c>
      <c r="F70" s="10" t="n">
        <v>55</v>
      </c>
      <c r="G70" s="10" t="n">
        <v>15</v>
      </c>
      <c r="H70" s="10" t="n">
        <v>21</v>
      </c>
      <c r="I70" s="10" t="n">
        <v>2</v>
      </c>
      <c r="J70" s="11" t="n">
        <v>139.83</v>
      </c>
      <c r="K70" s="11" t="n">
        <v>35.7</v>
      </c>
      <c r="L70" s="11" t="n">
        <v>97.88</v>
      </c>
      <c r="M70" s="11" t="n">
        <v>62.18</v>
      </c>
      <c r="N70" t="inlineStr">
        <is>
          <t>Transfer Recommended</t>
        </is>
      </c>
    </row>
    <row r="71">
      <c r="A71" t="inlineStr">
        <is>
          <t>F-1061</t>
        </is>
      </c>
      <c r="B71" t="inlineStr">
        <is>
          <t>Synthetic Motor Oil 5W-30 5qt</t>
        </is>
      </c>
      <c r="C71" t="inlineStr">
        <is>
          <t>Store-Stamford</t>
        </is>
      </c>
      <c r="D71" t="inlineStr">
        <is>
          <t>Store-Newark</t>
        </is>
      </c>
      <c r="E71" s="10" t="n">
        <v>68</v>
      </c>
      <c r="F71" s="10" t="n">
        <v>3</v>
      </c>
      <c r="G71" s="10" t="n">
        <v>12</v>
      </c>
      <c r="H71" s="10" t="n">
        <v>1</v>
      </c>
      <c r="I71" s="10" t="n">
        <v>14</v>
      </c>
      <c r="J71" s="11" t="n">
        <v>29.26</v>
      </c>
      <c r="K71" s="11" t="n">
        <v>81.90000000000001</v>
      </c>
      <c r="L71" s="11" t="n">
        <v>143.37</v>
      </c>
      <c r="M71" s="11" t="n">
        <v>61.47</v>
      </c>
      <c r="N71" t="inlineStr">
        <is>
          <t>Transfer Recommended</t>
        </is>
      </c>
    </row>
    <row r="72">
      <c r="A72" t="inlineStr">
        <is>
          <t>T-1066</t>
        </is>
      </c>
      <c r="B72" t="inlineStr">
        <is>
          <t>Hydraulic Floor Jack 3-Ton</t>
        </is>
      </c>
      <c r="C72" t="inlineStr">
        <is>
          <t>Store-Newark</t>
        </is>
      </c>
      <c r="D72" t="inlineStr">
        <is>
          <t>DC-NY</t>
        </is>
      </c>
      <c r="E72" s="10" t="n">
        <v>57</v>
      </c>
      <c r="F72" s="10" t="n">
        <v>60</v>
      </c>
      <c r="G72" s="10" t="n">
        <v>14</v>
      </c>
      <c r="H72" s="10" t="n">
        <v>32</v>
      </c>
      <c r="I72" s="10" t="n">
        <v>2</v>
      </c>
      <c r="J72" s="11" t="n">
        <v>161.94</v>
      </c>
      <c r="K72" s="11" t="n">
        <v>53.9</v>
      </c>
      <c r="L72" s="11" t="n">
        <v>113.36</v>
      </c>
      <c r="M72" s="11" t="n">
        <v>59.46</v>
      </c>
      <c r="N72" t="inlineStr">
        <is>
          <t>Transfer Recommended</t>
        </is>
      </c>
    </row>
    <row r="73">
      <c r="A73" t="inlineStr">
        <is>
          <t>A-1042</t>
        </is>
      </c>
      <c r="B73" t="inlineStr">
        <is>
          <t>LED Headlight Bulb H11 Pair</t>
        </is>
      </c>
      <c r="C73" t="inlineStr">
        <is>
          <t>Store-Stamford</t>
        </is>
      </c>
      <c r="D73" t="inlineStr">
        <is>
          <t>Store-Yonkers</t>
        </is>
      </c>
      <c r="E73" s="10" t="n">
        <v>38</v>
      </c>
      <c r="F73" s="10" t="n">
        <v>39</v>
      </c>
      <c r="G73" s="10" t="n">
        <v>12</v>
      </c>
      <c r="H73" s="10" t="n">
        <v>34</v>
      </c>
      <c r="I73" s="10" t="n">
        <v>9</v>
      </c>
      <c r="J73" s="11" t="n">
        <v>37.46</v>
      </c>
      <c r="K73" s="11" t="n">
        <v>62.65</v>
      </c>
      <c r="L73" s="11" t="n">
        <v>118</v>
      </c>
      <c r="M73" s="11" t="n">
        <v>55.35</v>
      </c>
      <c r="N73" t="inlineStr">
        <is>
          <t>Transfer Recommended</t>
        </is>
      </c>
    </row>
    <row r="74">
      <c r="A74" t="inlineStr">
        <is>
          <t>A-1042</t>
        </is>
      </c>
      <c r="B74" t="inlineStr">
        <is>
          <t>LED Headlight Bulb H11 Pair</t>
        </is>
      </c>
      <c r="C74" t="inlineStr">
        <is>
          <t>Store-Stamford</t>
        </is>
      </c>
      <c r="D74" t="inlineStr">
        <is>
          <t>Store-Queens</t>
        </is>
      </c>
      <c r="E74" s="10" t="n">
        <v>38</v>
      </c>
      <c r="F74" s="10" t="n">
        <v>0</v>
      </c>
      <c r="G74" s="10" t="n">
        <v>11</v>
      </c>
      <c r="H74" s="10" t="n">
        <v>32</v>
      </c>
      <c r="I74" s="10" t="n">
        <v>9</v>
      </c>
      <c r="J74" s="11" t="n">
        <v>37.46</v>
      </c>
      <c r="K74" s="11" t="n">
        <v>62.65</v>
      </c>
      <c r="L74" s="11" t="n">
        <v>118</v>
      </c>
      <c r="M74" s="11" t="n">
        <v>55.35</v>
      </c>
      <c r="N74" t="inlineStr">
        <is>
          <t>Transfer Recommended</t>
        </is>
      </c>
    </row>
    <row r="75">
      <c r="A75" t="inlineStr">
        <is>
          <t>A-1031</t>
        </is>
      </c>
      <c r="B75" t="inlineStr">
        <is>
          <t>LED Headlight Bulb H11 Pair</t>
        </is>
      </c>
      <c r="C75" t="inlineStr">
        <is>
          <t>Store-Yonkers</t>
        </is>
      </c>
      <c r="D75" t="inlineStr">
        <is>
          <t>Store-Queens</t>
        </is>
      </c>
      <c r="E75" s="10" t="n">
        <v>39</v>
      </c>
      <c r="F75" s="10" t="n">
        <v>0</v>
      </c>
      <c r="G75" s="10" t="n">
        <v>11</v>
      </c>
      <c r="H75" s="10" t="n">
        <v>32</v>
      </c>
      <c r="I75" s="10" t="n">
        <v>9</v>
      </c>
      <c r="J75" s="11" t="n">
        <v>37.2</v>
      </c>
      <c r="K75" s="11" t="n">
        <v>62.65</v>
      </c>
      <c r="L75" s="11" t="n">
        <v>117.18</v>
      </c>
      <c r="M75" s="11" t="n">
        <v>54.53</v>
      </c>
      <c r="N75" t="inlineStr">
        <is>
          <t>Transfer Recommended</t>
        </is>
      </c>
    </row>
    <row r="76">
      <c r="A76" t="inlineStr">
        <is>
          <t>F-1060</t>
        </is>
      </c>
      <c r="B76" t="inlineStr">
        <is>
          <t>Synthetic Motor Oil 5W-30 5qt</t>
        </is>
      </c>
      <c r="C76" t="inlineStr">
        <is>
          <t>Store-Newark</t>
        </is>
      </c>
      <c r="D76" t="inlineStr">
        <is>
          <t>Store-Manhattan</t>
        </is>
      </c>
      <c r="E76" s="10" t="n">
        <v>68</v>
      </c>
      <c r="F76" s="10" t="n">
        <v>77</v>
      </c>
      <c r="G76" s="10" t="n">
        <v>17</v>
      </c>
      <c r="H76" s="10" t="n">
        <v>30</v>
      </c>
      <c r="I76" s="10" t="n">
        <v>12</v>
      </c>
      <c r="J76" s="11" t="n">
        <v>29.64</v>
      </c>
      <c r="K76" s="11" t="n">
        <v>74.2</v>
      </c>
      <c r="L76" s="11" t="n">
        <v>124.49</v>
      </c>
      <c r="M76" s="11" t="n">
        <v>50.29</v>
      </c>
      <c r="N76" t="inlineStr">
        <is>
          <t>Transfer Recommended</t>
        </is>
      </c>
    </row>
    <row r="77">
      <c r="A77" t="inlineStr">
        <is>
          <t>F-1061</t>
        </is>
      </c>
      <c r="B77" t="inlineStr">
        <is>
          <t>Synthetic Motor Oil 5W-30 5qt</t>
        </is>
      </c>
      <c r="C77" t="inlineStr">
        <is>
          <t>Store-Stamford</t>
        </is>
      </c>
      <c r="D77" t="inlineStr">
        <is>
          <t>Store-Manhattan</t>
        </is>
      </c>
      <c r="E77" s="10" t="n">
        <v>68</v>
      </c>
      <c r="F77" s="10" t="n">
        <v>77</v>
      </c>
      <c r="G77" s="10" t="n">
        <v>17</v>
      </c>
      <c r="H77" s="10" t="n">
        <v>30</v>
      </c>
      <c r="I77" s="10" t="n">
        <v>12</v>
      </c>
      <c r="J77" s="11" t="n">
        <v>29.26</v>
      </c>
      <c r="K77" s="11" t="n">
        <v>74.2</v>
      </c>
      <c r="L77" s="11" t="n">
        <v>122.89</v>
      </c>
      <c r="M77" s="11" t="n">
        <v>48.69</v>
      </c>
      <c r="N77" t="inlineStr">
        <is>
          <t>Transfer Recommended</t>
        </is>
      </c>
    </row>
    <row r="78">
      <c r="A78" t="inlineStr">
        <is>
          <t>A-1042</t>
        </is>
      </c>
      <c r="B78" t="inlineStr">
        <is>
          <t>LED Headlight Bulb H11 Pair</t>
        </is>
      </c>
      <c r="C78" t="inlineStr">
        <is>
          <t>Store-Stamford</t>
        </is>
      </c>
      <c r="D78" t="inlineStr">
        <is>
          <t>DC-NJ</t>
        </is>
      </c>
      <c r="E78" s="10" t="n">
        <v>38</v>
      </c>
      <c r="F78" s="10" t="n">
        <v>48</v>
      </c>
      <c r="G78" s="10" t="n">
        <v>9</v>
      </c>
      <c r="H78" s="10" t="n">
        <v>25</v>
      </c>
      <c r="I78" s="10" t="n">
        <v>9</v>
      </c>
      <c r="J78" s="11" t="n">
        <v>37.46</v>
      </c>
      <c r="K78" s="11" t="n">
        <v>74.55</v>
      </c>
      <c r="L78" s="11" t="n">
        <v>118</v>
      </c>
      <c r="M78" s="11" t="n">
        <v>43.45</v>
      </c>
      <c r="N78" t="inlineStr">
        <is>
          <t>Transfer Recommended</t>
        </is>
      </c>
    </row>
    <row r="79">
      <c r="A79" t="inlineStr">
        <is>
          <t>A-1031</t>
        </is>
      </c>
      <c r="B79" t="inlineStr">
        <is>
          <t>LED Headlight Bulb H11 Pair</t>
        </is>
      </c>
      <c r="C79" t="inlineStr">
        <is>
          <t>Store-Yonkers</t>
        </is>
      </c>
      <c r="D79" t="inlineStr">
        <is>
          <t>DC-NJ</t>
        </is>
      </c>
      <c r="E79" s="10" t="n">
        <v>39</v>
      </c>
      <c r="F79" s="10" t="n">
        <v>48</v>
      </c>
      <c r="G79" s="10" t="n">
        <v>9</v>
      </c>
      <c r="H79" s="10" t="n">
        <v>25</v>
      </c>
      <c r="I79" s="10" t="n">
        <v>9</v>
      </c>
      <c r="J79" s="11" t="n">
        <v>37.2</v>
      </c>
      <c r="K79" s="11" t="n">
        <v>74.55</v>
      </c>
      <c r="L79" s="11" t="n">
        <v>117.18</v>
      </c>
      <c r="M79" s="11" t="n">
        <v>42.63</v>
      </c>
      <c r="N79" t="inlineStr">
        <is>
          <t>Transfer Recommended</t>
        </is>
      </c>
    </row>
    <row r="80">
      <c r="A80" t="inlineStr">
        <is>
          <t>F-1104</t>
        </is>
      </c>
      <c r="B80" t="inlineStr">
        <is>
          <t>Synthetic Motor Oil 5W-30 5qt</t>
        </is>
      </c>
      <c r="C80" t="inlineStr">
        <is>
          <t>Store-Manhattan</t>
        </is>
      </c>
      <c r="D80" t="inlineStr">
        <is>
          <t>Store-Newark</t>
        </is>
      </c>
      <c r="E80" s="10" t="n">
        <v>77</v>
      </c>
      <c r="F80" s="10" t="n">
        <v>68</v>
      </c>
      <c r="G80" s="10" t="n">
        <v>19</v>
      </c>
      <c r="H80" s="10" t="n">
        <v>22</v>
      </c>
      <c r="I80" s="10" t="n">
        <v>10</v>
      </c>
      <c r="J80" s="11" t="n">
        <v>29.75</v>
      </c>
      <c r="K80" s="11" t="n">
        <v>66.5</v>
      </c>
      <c r="L80" s="11" t="n">
        <v>104.12</v>
      </c>
      <c r="M80" s="11" t="n">
        <v>37.62</v>
      </c>
      <c r="N80" t="inlineStr">
        <is>
          <t>Transfer Recommended</t>
        </is>
      </c>
    </row>
    <row r="81">
      <c r="A81" t="inlineStr">
        <is>
          <t>A-1042</t>
        </is>
      </c>
      <c r="B81" t="inlineStr">
        <is>
          <t>LED Headlight Bulb H11 Pair</t>
        </is>
      </c>
      <c r="C81" t="inlineStr">
        <is>
          <t>Store-Stamford</t>
        </is>
      </c>
      <c r="D81" t="inlineStr">
        <is>
          <t>Store-Brooklyn</t>
        </is>
      </c>
      <c r="E81" s="10" t="n">
        <v>38</v>
      </c>
      <c r="F81" s="10" t="n">
        <v>84</v>
      </c>
      <c r="G81" s="10" t="n">
        <v>19</v>
      </c>
      <c r="H81" s="10" t="n">
        <v>11</v>
      </c>
      <c r="I81" s="10" t="n">
        <v>7</v>
      </c>
      <c r="J81" s="11" t="n">
        <v>37.46</v>
      </c>
      <c r="K81" s="11" t="n">
        <v>54.95</v>
      </c>
      <c r="L81" s="11" t="n">
        <v>91.78</v>
      </c>
      <c r="M81" s="11" t="n">
        <v>36.83</v>
      </c>
      <c r="N81" t="inlineStr">
        <is>
          <t>Transfer Recommended</t>
        </is>
      </c>
    </row>
    <row r="82">
      <c r="A82" t="inlineStr">
        <is>
          <t>A-1031</t>
        </is>
      </c>
      <c r="B82" t="inlineStr">
        <is>
          <t>LED Headlight Bulb H11 Pair</t>
        </is>
      </c>
      <c r="C82" t="inlineStr">
        <is>
          <t>Store-Yonkers</t>
        </is>
      </c>
      <c r="D82" t="inlineStr">
        <is>
          <t>Store-Brooklyn</t>
        </is>
      </c>
      <c r="E82" s="10" t="n">
        <v>39</v>
      </c>
      <c r="F82" s="10" t="n">
        <v>84</v>
      </c>
      <c r="G82" s="10" t="n">
        <v>19</v>
      </c>
      <c r="H82" s="10" t="n">
        <v>11</v>
      </c>
      <c r="I82" s="10" t="n">
        <v>7</v>
      </c>
      <c r="J82" s="11" t="n">
        <v>37.2</v>
      </c>
      <c r="K82" s="11" t="n">
        <v>54.95</v>
      </c>
      <c r="L82" s="11" t="n">
        <v>91.14</v>
      </c>
      <c r="M82" s="11" t="n">
        <v>36.19</v>
      </c>
      <c r="N82" t="inlineStr">
        <is>
          <t>Transfer Recommended</t>
        </is>
      </c>
    </row>
    <row r="83">
      <c r="A83" t="inlineStr">
        <is>
          <t>F-1061</t>
        </is>
      </c>
      <c r="B83" t="inlineStr">
        <is>
          <t>Synthetic Motor Oil 5W-30 5qt</t>
        </is>
      </c>
      <c r="C83" t="inlineStr">
        <is>
          <t>Store-Stamford</t>
        </is>
      </c>
      <c r="D83" t="inlineStr">
        <is>
          <t>Store-Newark</t>
        </is>
      </c>
      <c r="E83" s="10" t="n">
        <v>68</v>
      </c>
      <c r="F83" s="10" t="n">
        <v>68</v>
      </c>
      <c r="G83" s="10" t="n">
        <v>19</v>
      </c>
      <c r="H83" s="10" t="n">
        <v>22</v>
      </c>
      <c r="I83" s="10" t="n">
        <v>10</v>
      </c>
      <c r="J83" s="11" t="n">
        <v>29.26</v>
      </c>
      <c r="K83" s="11" t="n">
        <v>66.5</v>
      </c>
      <c r="L83" s="11" t="n">
        <v>102.41</v>
      </c>
      <c r="M83" s="11" t="n">
        <v>35.91</v>
      </c>
      <c r="N83" t="inlineStr">
        <is>
          <t>Transfer Recommended</t>
        </is>
      </c>
    </row>
    <row r="84">
      <c r="A84" t="inlineStr">
        <is>
          <t>BP-1073</t>
        </is>
      </c>
      <c r="B84" t="inlineStr">
        <is>
          <t>Ceramic Brake Pad Set - Front</t>
        </is>
      </c>
      <c r="C84" t="inlineStr">
        <is>
          <t>Store-WhitePlains</t>
        </is>
      </c>
      <c r="D84" t="inlineStr">
        <is>
          <t>Store-Queens</t>
        </is>
      </c>
      <c r="E84" s="10" t="n">
        <v>46</v>
      </c>
      <c r="F84" s="10" t="n">
        <v>72</v>
      </c>
      <c r="G84" s="10" t="n">
        <v>10</v>
      </c>
      <c r="H84" s="10" t="n">
        <v>14</v>
      </c>
      <c r="I84" s="10" t="n">
        <v>8</v>
      </c>
      <c r="J84" s="11" t="n">
        <v>33.36</v>
      </c>
      <c r="K84" s="11" t="n">
        <v>58.8</v>
      </c>
      <c r="L84" s="11" t="n">
        <v>93.41</v>
      </c>
      <c r="M84" s="11" t="n">
        <v>34.61</v>
      </c>
      <c r="N84" t="inlineStr">
        <is>
          <t>Transfer Recommended</t>
        </is>
      </c>
    </row>
    <row r="85">
      <c r="A85" t="inlineStr">
        <is>
          <t>BP-1093</t>
        </is>
      </c>
      <c r="B85" t="inlineStr">
        <is>
          <t>Ceramic Brake Pad Set - Front</t>
        </is>
      </c>
      <c r="C85" t="inlineStr">
        <is>
          <t>Store-WhitePlains</t>
        </is>
      </c>
      <c r="D85" t="inlineStr">
        <is>
          <t>Store-Queens</t>
        </is>
      </c>
      <c r="E85" s="10" t="n">
        <v>72</v>
      </c>
      <c r="F85" s="10" t="n">
        <v>72</v>
      </c>
      <c r="G85" s="10" t="n">
        <v>10</v>
      </c>
      <c r="H85" s="10" t="n">
        <v>14</v>
      </c>
      <c r="I85" s="10" t="n">
        <v>8</v>
      </c>
      <c r="J85" s="11" t="n">
        <v>33.25</v>
      </c>
      <c r="K85" s="11" t="n">
        <v>58.8</v>
      </c>
      <c r="L85" s="11" t="n">
        <v>93.09999999999999</v>
      </c>
      <c r="M85" s="11" t="n">
        <v>34.3</v>
      </c>
      <c r="N85" t="inlineStr">
        <is>
          <t>Transfer Recommended</t>
        </is>
      </c>
    </row>
    <row r="86">
      <c r="A86" t="inlineStr">
        <is>
          <t>F-1104</t>
        </is>
      </c>
      <c r="B86" t="inlineStr">
        <is>
          <t>Synthetic Motor Oil 5W-30 5qt</t>
        </is>
      </c>
      <c r="C86" t="inlineStr">
        <is>
          <t>Store-Manhattan</t>
        </is>
      </c>
      <c r="D86" t="inlineStr">
        <is>
          <t>Store-WhitePlains</t>
        </is>
      </c>
      <c r="E86" s="10" t="n">
        <v>77</v>
      </c>
      <c r="F86" s="10" t="n">
        <v>55</v>
      </c>
      <c r="G86" s="10" t="n">
        <v>11</v>
      </c>
      <c r="H86" s="10" t="n">
        <v>16</v>
      </c>
      <c r="I86" s="10" t="n">
        <v>9</v>
      </c>
      <c r="J86" s="11" t="n">
        <v>29.75</v>
      </c>
      <c r="K86" s="11" t="n">
        <v>62.65</v>
      </c>
      <c r="L86" s="11" t="n">
        <v>93.70999999999999</v>
      </c>
      <c r="M86" s="11" t="n">
        <v>31.06</v>
      </c>
      <c r="N86" t="inlineStr">
        <is>
          <t>Transfer Recommended</t>
        </is>
      </c>
    </row>
    <row r="87">
      <c r="A87" t="inlineStr">
        <is>
          <t>F-1060</t>
        </is>
      </c>
      <c r="B87" t="inlineStr">
        <is>
          <t>Synthetic Motor Oil 5W-30 5qt</t>
        </is>
      </c>
      <c r="C87" t="inlineStr">
        <is>
          <t>Store-Newark</t>
        </is>
      </c>
      <c r="D87" t="inlineStr">
        <is>
          <t>Store-WhitePlains</t>
        </is>
      </c>
      <c r="E87" s="10" t="n">
        <v>68</v>
      </c>
      <c r="F87" s="10" t="n">
        <v>55</v>
      </c>
      <c r="G87" s="10" t="n">
        <v>11</v>
      </c>
      <c r="H87" s="10" t="n">
        <v>16</v>
      </c>
      <c r="I87" s="10" t="n">
        <v>9</v>
      </c>
      <c r="J87" s="11" t="n">
        <v>29.64</v>
      </c>
      <c r="K87" s="11" t="n">
        <v>62.65</v>
      </c>
      <c r="L87" s="11" t="n">
        <v>93.37</v>
      </c>
      <c r="M87" s="11" t="n">
        <v>30.72</v>
      </c>
      <c r="N87" t="inlineStr">
        <is>
          <t>Transfer Recommended</t>
        </is>
      </c>
    </row>
    <row r="88">
      <c r="A88" t="inlineStr">
        <is>
          <t>A-1046</t>
        </is>
      </c>
      <c r="B88" t="inlineStr">
        <is>
          <t>Serpentine Belt 6-Rib 68in</t>
        </is>
      </c>
      <c r="C88" t="inlineStr">
        <is>
          <t>Store-Queens</t>
        </is>
      </c>
      <c r="D88" t="inlineStr">
        <is>
          <t>Store-Brooklyn</t>
        </is>
      </c>
      <c r="E88" s="10" t="n">
        <v>75</v>
      </c>
      <c r="F88" s="10" t="n">
        <v>60</v>
      </c>
      <c r="G88" s="10" t="n">
        <v>9</v>
      </c>
      <c r="H88" s="10" t="n">
        <v>33</v>
      </c>
      <c r="I88" s="10" t="n">
        <v>13</v>
      </c>
      <c r="J88" s="11" t="n">
        <v>23.88</v>
      </c>
      <c r="K88" s="11" t="n">
        <v>78.05</v>
      </c>
      <c r="L88" s="11" t="n">
        <v>108.65</v>
      </c>
      <c r="M88" s="11" t="n">
        <v>30.6</v>
      </c>
      <c r="N88" t="inlineStr">
        <is>
          <t>Transfer Recommended</t>
        </is>
      </c>
    </row>
    <row r="89">
      <c r="A89" t="inlineStr">
        <is>
          <t>F-1061</t>
        </is>
      </c>
      <c r="B89" t="inlineStr">
        <is>
          <t>Synthetic Motor Oil 5W-30 5qt</t>
        </is>
      </c>
      <c r="C89" t="inlineStr">
        <is>
          <t>Store-Stamford</t>
        </is>
      </c>
      <c r="D89" t="inlineStr">
        <is>
          <t>Store-WhitePlains</t>
        </is>
      </c>
      <c r="E89" s="10" t="n">
        <v>68</v>
      </c>
      <c r="F89" s="10" t="n">
        <v>55</v>
      </c>
      <c r="G89" s="10" t="n">
        <v>11</v>
      </c>
      <c r="H89" s="10" t="n">
        <v>16</v>
      </c>
      <c r="I89" s="10" t="n">
        <v>9</v>
      </c>
      <c r="J89" s="11" t="n">
        <v>29.26</v>
      </c>
      <c r="K89" s="11" t="n">
        <v>62.65</v>
      </c>
      <c r="L89" s="11" t="n">
        <v>92.17</v>
      </c>
      <c r="M89" s="11" t="n">
        <v>29.52</v>
      </c>
      <c r="N89" t="inlineStr">
        <is>
          <t>Transfer Recommended</t>
        </is>
      </c>
    </row>
    <row r="90">
      <c r="A90" t="inlineStr">
        <is>
          <t>BP-1004</t>
        </is>
      </c>
      <c r="B90" t="inlineStr">
        <is>
          <t>Ceramic Brake Pad Set - Front</t>
        </is>
      </c>
      <c r="C90" t="inlineStr">
        <is>
          <t>Store-Queens</t>
        </is>
      </c>
      <c r="D90" t="inlineStr">
        <is>
          <t>Store-WhitePlains</t>
        </is>
      </c>
      <c r="E90" s="10" t="n">
        <v>72</v>
      </c>
      <c r="F90" s="10" t="n">
        <v>72</v>
      </c>
      <c r="G90" s="10" t="n">
        <v>17</v>
      </c>
      <c r="H90" s="10" t="n">
        <v>11</v>
      </c>
      <c r="I90" s="10" t="n">
        <v>7</v>
      </c>
      <c r="J90" s="11" t="n">
        <v>32.98</v>
      </c>
      <c r="K90" s="11" t="n">
        <v>54.95</v>
      </c>
      <c r="L90" s="11" t="n">
        <v>80.8</v>
      </c>
      <c r="M90" s="11" t="n">
        <v>25.85</v>
      </c>
      <c r="N90" t="inlineStr">
        <is>
          <t>Transfer Recommended</t>
        </is>
      </c>
    </row>
    <row r="91">
      <c r="A91" t="inlineStr">
        <is>
          <t>F-1060</t>
        </is>
      </c>
      <c r="B91" t="inlineStr">
        <is>
          <t>Synthetic Motor Oil 5W-30 5qt</t>
        </is>
      </c>
      <c r="C91" t="inlineStr">
        <is>
          <t>Store-Newark</t>
        </is>
      </c>
      <c r="D91" t="inlineStr">
        <is>
          <t>Store-Manhattan</t>
        </is>
      </c>
      <c r="E91" s="10" t="n">
        <v>68</v>
      </c>
      <c r="F91" s="10" t="n">
        <v>15</v>
      </c>
      <c r="G91" s="10" t="n">
        <v>8</v>
      </c>
      <c r="H91" s="10" t="n">
        <v>15</v>
      </c>
      <c r="I91" s="10" t="n">
        <v>8</v>
      </c>
      <c r="J91" s="11" t="n">
        <v>29.64</v>
      </c>
      <c r="K91" s="11" t="n">
        <v>58.8</v>
      </c>
      <c r="L91" s="11" t="n">
        <v>82.98999999999999</v>
      </c>
      <c r="M91" s="11" t="n">
        <v>24.19</v>
      </c>
      <c r="N91" t="inlineStr">
        <is>
          <t>Review Transfer</t>
        </is>
      </c>
    </row>
    <row r="92">
      <c r="A92" t="inlineStr">
        <is>
          <t>F-1061</t>
        </is>
      </c>
      <c r="B92" t="inlineStr">
        <is>
          <t>Synthetic Motor Oil 5W-30 5qt</t>
        </is>
      </c>
      <c r="C92" t="inlineStr">
        <is>
          <t>Store-Stamford</t>
        </is>
      </c>
      <c r="D92" t="inlineStr">
        <is>
          <t>Store-Manhattan</t>
        </is>
      </c>
      <c r="E92" s="10" t="n">
        <v>68</v>
      </c>
      <c r="F92" s="10" t="n">
        <v>15</v>
      </c>
      <c r="G92" s="10" t="n">
        <v>8</v>
      </c>
      <c r="H92" s="10" t="n">
        <v>15</v>
      </c>
      <c r="I92" s="10" t="n">
        <v>8</v>
      </c>
      <c r="J92" s="11" t="n">
        <v>29.26</v>
      </c>
      <c r="K92" s="11" t="n">
        <v>58.8</v>
      </c>
      <c r="L92" s="11" t="n">
        <v>81.93000000000001</v>
      </c>
      <c r="M92" s="11" t="n">
        <v>23.13</v>
      </c>
      <c r="N92" t="inlineStr">
        <is>
          <t>Review Transfer</t>
        </is>
      </c>
    </row>
    <row r="93">
      <c r="A93" t="inlineStr">
        <is>
          <t>B-1087</t>
        </is>
      </c>
      <c r="B93" t="inlineStr">
        <is>
          <t>Deep Cycle Marine 27DC</t>
        </is>
      </c>
      <c r="C93" t="inlineStr">
        <is>
          <t>Store-Manhattan</t>
        </is>
      </c>
      <c r="D93" t="inlineStr">
        <is>
          <t>Store-Stamford</t>
        </is>
      </c>
      <c r="E93" s="10" t="n">
        <v>38</v>
      </c>
      <c r="F93" s="10" t="n">
        <v>44</v>
      </c>
      <c r="G93" s="10" t="n">
        <v>12</v>
      </c>
      <c r="H93" s="10" t="n">
        <v>16</v>
      </c>
      <c r="I93" s="10" t="n">
        <v>1</v>
      </c>
      <c r="J93" s="11" t="n">
        <v>145.69</v>
      </c>
      <c r="K93" s="11" t="n">
        <v>31.85</v>
      </c>
      <c r="L93" s="11" t="n">
        <v>50.99</v>
      </c>
      <c r="M93" s="11" t="n">
        <v>19.14</v>
      </c>
      <c r="N93" t="inlineStr">
        <is>
          <t>Review Transfer</t>
        </is>
      </c>
    </row>
    <row r="94">
      <c r="A94" t="inlineStr">
        <is>
          <t>B-1087</t>
        </is>
      </c>
      <c r="B94" t="inlineStr">
        <is>
          <t>Deep Cycle Marine 27DC</t>
        </is>
      </c>
      <c r="C94" t="inlineStr">
        <is>
          <t>Store-Manhattan</t>
        </is>
      </c>
      <c r="D94" t="inlineStr">
        <is>
          <t>Store-Brooklyn</t>
        </is>
      </c>
      <c r="E94" s="10" t="n">
        <v>38</v>
      </c>
      <c r="F94" s="10" t="n">
        <v>79</v>
      </c>
      <c r="G94" s="10" t="n">
        <v>20</v>
      </c>
      <c r="H94" s="10" t="n">
        <v>27</v>
      </c>
      <c r="I94" s="10" t="n">
        <v>1</v>
      </c>
      <c r="J94" s="11" t="n">
        <v>145.69</v>
      </c>
      <c r="K94" s="11" t="n">
        <v>31.85</v>
      </c>
      <c r="L94" s="11" t="n">
        <v>50.99</v>
      </c>
      <c r="M94" s="11" t="n">
        <v>19.14</v>
      </c>
      <c r="N94" t="inlineStr">
        <is>
          <t>Review Transfer</t>
        </is>
      </c>
    </row>
    <row r="95">
      <c r="A95" t="inlineStr">
        <is>
          <t>B-1087</t>
        </is>
      </c>
      <c r="B95" t="inlineStr">
        <is>
          <t>Deep Cycle Marine 27DC</t>
        </is>
      </c>
      <c r="C95" t="inlineStr">
        <is>
          <t>Store-Manhattan</t>
        </is>
      </c>
      <c r="D95" t="inlineStr">
        <is>
          <t>Store-Yonkers</t>
        </is>
      </c>
      <c r="E95" s="10" t="n">
        <v>38</v>
      </c>
      <c r="F95" s="10" t="n">
        <v>55</v>
      </c>
      <c r="G95" s="10" t="n">
        <v>15</v>
      </c>
      <c r="H95" s="10" t="n">
        <v>21</v>
      </c>
      <c r="I95" s="10" t="n">
        <v>1</v>
      </c>
      <c r="J95" s="11" t="n">
        <v>145.69</v>
      </c>
      <c r="K95" s="11" t="n">
        <v>31.85</v>
      </c>
      <c r="L95" s="11" t="n">
        <v>50.99</v>
      </c>
      <c r="M95" s="11" t="n">
        <v>19.14</v>
      </c>
      <c r="N95" t="inlineStr">
        <is>
          <t>Review Transfer</t>
        </is>
      </c>
    </row>
    <row r="96">
      <c r="A96" t="inlineStr">
        <is>
          <t>B-1087</t>
        </is>
      </c>
      <c r="B96" t="inlineStr">
        <is>
          <t>Deep Cycle Marine 27DC</t>
        </is>
      </c>
      <c r="C96" t="inlineStr">
        <is>
          <t>Store-Manhattan</t>
        </is>
      </c>
      <c r="D96" t="inlineStr">
        <is>
          <t>Store-Brooklyn</t>
        </is>
      </c>
      <c r="E96" s="10" t="n">
        <v>38</v>
      </c>
      <c r="F96" s="10" t="n">
        <v>79</v>
      </c>
      <c r="G96" s="10" t="n">
        <v>17</v>
      </c>
      <c r="H96" s="10" t="n">
        <v>26</v>
      </c>
      <c r="I96" s="10" t="n">
        <v>1</v>
      </c>
      <c r="J96" s="11" t="n">
        <v>145.69</v>
      </c>
      <c r="K96" s="11" t="n">
        <v>31.85</v>
      </c>
      <c r="L96" s="11" t="n">
        <v>50.99</v>
      </c>
      <c r="M96" s="11" t="n">
        <v>19.14</v>
      </c>
      <c r="N96" t="inlineStr">
        <is>
          <t>Review Transfer</t>
        </is>
      </c>
    </row>
    <row r="97">
      <c r="A97" t="inlineStr">
        <is>
          <t>B-1087</t>
        </is>
      </c>
      <c r="B97" t="inlineStr">
        <is>
          <t>Deep Cycle Marine 27DC</t>
        </is>
      </c>
      <c r="C97" t="inlineStr">
        <is>
          <t>Store-Manhattan</t>
        </is>
      </c>
      <c r="D97" t="inlineStr">
        <is>
          <t>Store-Stamford</t>
        </is>
      </c>
      <c r="E97" s="10" t="n">
        <v>38</v>
      </c>
      <c r="F97" s="10" t="n">
        <v>34</v>
      </c>
      <c r="G97" s="10" t="n">
        <v>14</v>
      </c>
      <c r="H97" s="10" t="n">
        <v>32</v>
      </c>
      <c r="I97" s="10" t="n">
        <v>1</v>
      </c>
      <c r="J97" s="11" t="n">
        <v>145.69</v>
      </c>
      <c r="K97" s="11" t="n">
        <v>31.85</v>
      </c>
      <c r="L97" s="11" t="n">
        <v>50.99</v>
      </c>
      <c r="M97" s="11" t="n">
        <v>19.14</v>
      </c>
      <c r="N97" t="inlineStr">
        <is>
          <t>Review Transfer</t>
        </is>
      </c>
    </row>
    <row r="98">
      <c r="A98" t="inlineStr">
        <is>
          <t>B-1087</t>
        </is>
      </c>
      <c r="B98" t="inlineStr">
        <is>
          <t>Deep Cycle Marine 27DC</t>
        </is>
      </c>
      <c r="C98" t="inlineStr">
        <is>
          <t>Store-Manhattan</t>
        </is>
      </c>
      <c r="D98" t="inlineStr">
        <is>
          <t>Store-Queens</t>
        </is>
      </c>
      <c r="E98" s="10" t="n">
        <v>38</v>
      </c>
      <c r="F98" s="10" t="n">
        <v>34</v>
      </c>
      <c r="G98" s="10" t="n">
        <v>8</v>
      </c>
      <c r="H98" s="10" t="n">
        <v>25</v>
      </c>
      <c r="I98" s="10" t="n">
        <v>1</v>
      </c>
      <c r="J98" s="11" t="n">
        <v>145.69</v>
      </c>
      <c r="K98" s="11" t="n">
        <v>31.85</v>
      </c>
      <c r="L98" s="11" t="n">
        <v>50.99</v>
      </c>
      <c r="M98" s="11" t="n">
        <v>19.14</v>
      </c>
      <c r="N98" t="inlineStr">
        <is>
          <t>Review Transfer</t>
        </is>
      </c>
    </row>
    <row r="99">
      <c r="A99" t="inlineStr">
        <is>
          <t>F-1088</t>
        </is>
      </c>
      <c r="B99" t="inlineStr">
        <is>
          <t>Extended Life Coolant 1gal</t>
        </is>
      </c>
      <c r="C99" t="inlineStr">
        <is>
          <t>Store-Newark</t>
        </is>
      </c>
      <c r="D99" t="inlineStr">
        <is>
          <t>Store-Brooklyn</t>
        </is>
      </c>
      <c r="E99" s="10" t="n">
        <v>73</v>
      </c>
      <c r="F99" s="10" t="n">
        <v>6</v>
      </c>
      <c r="G99" s="10" t="n">
        <v>17</v>
      </c>
      <c r="H99" s="10" t="n">
        <v>6</v>
      </c>
      <c r="I99" s="10" t="n">
        <v>16</v>
      </c>
      <c r="J99" s="11" t="n">
        <v>19.05</v>
      </c>
      <c r="K99" s="11" t="n">
        <v>89.59999999999999</v>
      </c>
      <c r="L99" s="11" t="n">
        <v>106.68</v>
      </c>
      <c r="M99" s="11" t="n">
        <v>17.08</v>
      </c>
      <c r="N99" t="inlineStr">
        <is>
          <t>Review Transfer</t>
        </is>
      </c>
    </row>
    <row r="100">
      <c r="A100" t="inlineStr">
        <is>
          <t>A-1010</t>
        </is>
      </c>
      <c r="B100" t="inlineStr">
        <is>
          <t>Beam Wiper Blade 22in</t>
        </is>
      </c>
      <c r="C100" t="inlineStr">
        <is>
          <t>Store-Queens</t>
        </is>
      </c>
      <c r="D100" t="inlineStr">
        <is>
          <t>Store-Stamford</t>
        </is>
      </c>
      <c r="E100" s="10" t="n">
        <v>57</v>
      </c>
      <c r="F100" s="10" t="n">
        <v>46</v>
      </c>
      <c r="G100" s="10" t="n">
        <v>20</v>
      </c>
      <c r="H100" s="10" t="n">
        <v>34</v>
      </c>
      <c r="I100" s="10" t="n">
        <v>13</v>
      </c>
      <c r="J100" s="11" t="n">
        <v>19.94</v>
      </c>
      <c r="K100" s="11" t="n">
        <v>78.05</v>
      </c>
      <c r="L100" s="11" t="n">
        <v>90.73</v>
      </c>
      <c r="M100" s="11" t="n">
        <v>12.68</v>
      </c>
      <c r="N100" t="inlineStr">
        <is>
          <t>Review Transfer</t>
        </is>
      </c>
    </row>
    <row r="101">
      <c r="A101" t="inlineStr">
        <is>
          <t>F-1088</t>
        </is>
      </c>
      <c r="B101" t="inlineStr">
        <is>
          <t>Extended Life Coolant 1gal</t>
        </is>
      </c>
      <c r="C101" t="inlineStr">
        <is>
          <t>Store-Newark</t>
        </is>
      </c>
      <c r="D101" t="inlineStr">
        <is>
          <t>Store-Queens</t>
        </is>
      </c>
      <c r="E101" s="10" t="n">
        <v>73</v>
      </c>
      <c r="F101" s="10" t="n">
        <v>39</v>
      </c>
      <c r="G101" s="10" t="n">
        <v>12</v>
      </c>
      <c r="H101" s="10" t="n">
        <v>33</v>
      </c>
      <c r="I101" s="10" t="n">
        <v>13</v>
      </c>
      <c r="J101" s="11" t="n">
        <v>19.05</v>
      </c>
      <c r="K101" s="11" t="n">
        <v>78.05</v>
      </c>
      <c r="L101" s="11" t="n">
        <v>86.68000000000001</v>
      </c>
      <c r="M101" s="11" t="n">
        <v>8.630000000000001</v>
      </c>
      <c r="N101" t="inlineStr">
        <is>
          <t>Review Transfer</t>
        </is>
      </c>
    </row>
    <row r="102">
      <c r="A102" t="inlineStr">
        <is>
          <t>F-1088</t>
        </is>
      </c>
      <c r="B102" t="inlineStr">
        <is>
          <t>Extended Life Coolant 1gal</t>
        </is>
      </c>
      <c r="C102" t="inlineStr">
        <is>
          <t>Store-Newark</t>
        </is>
      </c>
      <c r="D102" t="inlineStr">
        <is>
          <t>Store-Bronx</t>
        </is>
      </c>
      <c r="E102" s="10" t="n">
        <v>73</v>
      </c>
      <c r="F102" s="10" t="n">
        <v>29</v>
      </c>
      <c r="G102" s="10" t="n">
        <v>19</v>
      </c>
      <c r="H102" s="10" t="n">
        <v>34</v>
      </c>
      <c r="I102" s="10" t="n">
        <v>13</v>
      </c>
      <c r="J102" s="11" t="n">
        <v>19.05</v>
      </c>
      <c r="K102" s="11" t="n">
        <v>78.05</v>
      </c>
      <c r="L102" s="11" t="n">
        <v>86.68000000000001</v>
      </c>
      <c r="M102" s="11" t="n">
        <v>8.630000000000001</v>
      </c>
      <c r="N102" t="inlineStr">
        <is>
          <t>Review Transfer</t>
        </is>
      </c>
    </row>
    <row r="103">
      <c r="A103" t="inlineStr">
        <is>
          <t>SS-1106</t>
        </is>
      </c>
      <c r="B103" t="inlineStr">
        <is>
          <t>Nitrile Gloves Box/100</t>
        </is>
      </c>
      <c r="C103" t="inlineStr">
        <is>
          <t>Store-Queens</t>
        </is>
      </c>
      <c r="D103" t="inlineStr">
        <is>
          <t>Store-Newark</t>
        </is>
      </c>
      <c r="E103" s="10" t="n">
        <v>78</v>
      </c>
      <c r="F103" s="10" t="n">
        <v>32</v>
      </c>
      <c r="G103" s="10" t="n">
        <v>14</v>
      </c>
      <c r="H103" s="10" t="n">
        <v>31</v>
      </c>
      <c r="I103" s="10" t="n">
        <v>12</v>
      </c>
      <c r="J103" s="11" t="n">
        <v>19.66</v>
      </c>
      <c r="K103" s="11" t="n">
        <v>74.2</v>
      </c>
      <c r="L103" s="11" t="n">
        <v>82.56999999999999</v>
      </c>
      <c r="M103" s="11" t="n">
        <v>8.369999999999999</v>
      </c>
      <c r="N103" t="inlineStr">
        <is>
          <t>Review Transfer</t>
        </is>
      </c>
    </row>
    <row r="104">
      <c r="A104" t="inlineStr">
        <is>
          <t>SS-1106</t>
        </is>
      </c>
      <c r="B104" t="inlineStr">
        <is>
          <t>Nitrile Gloves Box/100</t>
        </is>
      </c>
      <c r="C104" t="inlineStr">
        <is>
          <t>Store-Queens</t>
        </is>
      </c>
      <c r="D104" t="inlineStr">
        <is>
          <t>Store-Stamford</t>
        </is>
      </c>
      <c r="E104" s="10" t="n">
        <v>78</v>
      </c>
      <c r="F104" s="10" t="n">
        <v>35</v>
      </c>
      <c r="G104" s="10" t="n">
        <v>16</v>
      </c>
      <c r="H104" s="10" t="n">
        <v>29</v>
      </c>
      <c r="I104" s="10" t="n">
        <v>12</v>
      </c>
      <c r="J104" s="11" t="n">
        <v>19.66</v>
      </c>
      <c r="K104" s="11" t="n">
        <v>74.2</v>
      </c>
      <c r="L104" s="11" t="n">
        <v>82.56999999999999</v>
      </c>
      <c r="M104" s="11" t="n">
        <v>8.369999999999999</v>
      </c>
      <c r="N104" t="inlineStr">
        <is>
          <t>Review Transfer</t>
        </is>
      </c>
    </row>
    <row r="105">
      <c r="A105" t="inlineStr">
        <is>
          <t>F-1007</t>
        </is>
      </c>
      <c r="B105" t="inlineStr">
        <is>
          <t>Cabin Air Filter CF-1180</t>
        </is>
      </c>
      <c r="C105" t="inlineStr">
        <is>
          <t>DC-PA</t>
        </is>
      </c>
      <c r="D105" t="inlineStr">
        <is>
          <t>DC-NJ</t>
        </is>
      </c>
      <c r="E105" s="10" t="n">
        <v>66</v>
      </c>
      <c r="F105" s="10" t="n">
        <v>29</v>
      </c>
      <c r="G105" s="10" t="n">
        <v>17</v>
      </c>
      <c r="H105" s="10" t="n">
        <v>32</v>
      </c>
      <c r="I105" s="10" t="n">
        <v>13</v>
      </c>
      <c r="J105" s="11" t="n">
        <v>16.72</v>
      </c>
      <c r="K105" s="11" t="n">
        <v>68.59999999999999</v>
      </c>
      <c r="L105" s="11" t="n">
        <v>76.08</v>
      </c>
      <c r="M105" s="11" t="n">
        <v>7.48</v>
      </c>
      <c r="N105" t="inlineStr">
        <is>
          <t>Review Transfer</t>
        </is>
      </c>
    </row>
    <row r="106">
      <c r="A106" t="inlineStr">
        <is>
          <t>F-1077</t>
        </is>
      </c>
      <c r="B106" t="inlineStr">
        <is>
          <t>Cabin Air Filter CF-1180</t>
        </is>
      </c>
      <c r="C106" t="inlineStr">
        <is>
          <t>DC-PA</t>
        </is>
      </c>
      <c r="D106" t="inlineStr">
        <is>
          <t>DC-NJ</t>
        </is>
      </c>
      <c r="E106" s="10" t="n">
        <v>43</v>
      </c>
      <c r="F106" s="10" t="n">
        <v>29</v>
      </c>
      <c r="G106" s="10" t="n">
        <v>17</v>
      </c>
      <c r="H106" s="10" t="n">
        <v>32</v>
      </c>
      <c r="I106" s="10" t="n">
        <v>13</v>
      </c>
      <c r="J106" s="11" t="n">
        <v>16.71</v>
      </c>
      <c r="K106" s="11" t="n">
        <v>68.59999999999999</v>
      </c>
      <c r="L106" s="11" t="n">
        <v>76.03</v>
      </c>
      <c r="M106" s="11" t="n">
        <v>7.43</v>
      </c>
      <c r="N106" t="inlineStr">
        <is>
          <t>Review Transfer</t>
        </is>
      </c>
    </row>
    <row r="107">
      <c r="A107" t="inlineStr">
        <is>
          <t>A-1083</t>
        </is>
      </c>
      <c r="B107" t="inlineStr">
        <is>
          <t>Serpentine Belt 6-Rib 68in</t>
        </is>
      </c>
      <c r="C107" t="inlineStr">
        <is>
          <t>Store-Brooklyn</t>
        </is>
      </c>
      <c r="D107" t="inlineStr">
        <is>
          <t>Store-Queens</t>
        </is>
      </c>
      <c r="E107" s="10" t="n">
        <v>60</v>
      </c>
      <c r="F107" s="10" t="n">
        <v>75</v>
      </c>
      <c r="G107" s="10" t="n">
        <v>9</v>
      </c>
      <c r="H107" s="10" t="n">
        <v>9</v>
      </c>
      <c r="I107" s="10" t="n">
        <v>7</v>
      </c>
      <c r="J107" s="11" t="n">
        <v>24.02</v>
      </c>
      <c r="K107" s="11" t="n">
        <v>54.95</v>
      </c>
      <c r="L107" s="11" t="n">
        <v>58.85</v>
      </c>
      <c r="M107" s="11" t="n">
        <v>3.9</v>
      </c>
      <c r="N107" t="inlineStr">
        <is>
          <t>Review Transfer</t>
        </is>
      </c>
    </row>
    <row r="108">
      <c r="A108" t="inlineStr">
        <is>
          <t>SS-1084</t>
        </is>
      </c>
      <c r="B108" t="inlineStr">
        <is>
          <t>Nitrile Gloves Box/100</t>
        </is>
      </c>
      <c r="C108" t="inlineStr">
        <is>
          <t>Store-Manhattan</t>
        </is>
      </c>
      <c r="D108" t="inlineStr">
        <is>
          <t>Store-Stamford</t>
        </is>
      </c>
      <c r="E108" s="10" t="n">
        <v>79</v>
      </c>
      <c r="F108" s="10" t="n">
        <v>35</v>
      </c>
      <c r="G108" s="10" t="n">
        <v>16</v>
      </c>
      <c r="H108" s="10" t="n">
        <v>29</v>
      </c>
      <c r="I108" s="10" t="n">
        <v>12</v>
      </c>
      <c r="J108" s="11" t="n">
        <v>18.22</v>
      </c>
      <c r="K108" s="11" t="n">
        <v>74.2</v>
      </c>
      <c r="L108" s="11" t="n">
        <v>76.52</v>
      </c>
      <c r="M108" s="11" t="n">
        <v>2.32</v>
      </c>
      <c r="N108" t="inlineStr">
        <is>
          <t>Review Transfer</t>
        </is>
      </c>
    </row>
    <row r="109">
      <c r="A109" t="inlineStr">
        <is>
          <t>SS-1084</t>
        </is>
      </c>
      <c r="B109" t="inlineStr">
        <is>
          <t>Nitrile Gloves Box/100</t>
        </is>
      </c>
      <c r="C109" t="inlineStr">
        <is>
          <t>Store-Manhattan</t>
        </is>
      </c>
      <c r="D109" t="inlineStr">
        <is>
          <t>Store-Newark</t>
        </is>
      </c>
      <c r="E109" s="10" t="n">
        <v>79</v>
      </c>
      <c r="F109" s="10" t="n">
        <v>32</v>
      </c>
      <c r="G109" s="10" t="n">
        <v>14</v>
      </c>
      <c r="H109" s="10" t="n">
        <v>31</v>
      </c>
      <c r="I109" s="10" t="n">
        <v>12</v>
      </c>
      <c r="J109" s="11" t="n">
        <v>18.22</v>
      </c>
      <c r="K109" s="11" t="n">
        <v>74.2</v>
      </c>
      <c r="L109" s="11" t="n">
        <v>76.52</v>
      </c>
      <c r="M109" s="11" t="n">
        <v>2.32</v>
      </c>
      <c r="N109" t="inlineStr">
        <is>
          <t>Review Transfer</t>
        </is>
      </c>
    </row>
  </sheetData>
  <mergeCells count="1">
    <mergeCell ref="A1:N1"/>
  </mergeCells>
  <conditionalFormatting sqref="M3:M109">
    <cfRule type="cellIs" priority="1" operator="greaterThan" dxfId="0">
      <formula>0</formula>
    </cfRule>
    <cfRule type="cellIs" priority="2" operator="lessThanOrEqual" dxfId="1">
      <formula>0</formula>
    </cfRule>
  </conditionalFormatting>
  <conditionalFormatting sqref="N3:N109">
    <cfRule type="expression" priority="3" dxfId="0">
      <formula>$N3="Transfer Recommended"</formula>
    </cfRule>
    <cfRule type="expression" priority="4" dxfId="2">
      <formula>$N3="Review Transfer"</formula>
    </cfRule>
    <cfRule type="expression" priority="5" dxfId="1">
      <formula>$N3="Do Not Transfer"</formula>
    </cfRule>
  </conditionalFormatting>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P122"/>
  <sheetViews>
    <sheetView showGridLines="0" workbookViewId="0">
      <pane ySplit="2" topLeftCell="A3" activePane="bottomLeft" state="frozen"/>
      <selection pane="bottomLeft" activeCell="A1" sqref="A1"/>
    </sheetView>
  </sheetViews>
  <sheetFormatPr baseColWidth="8" defaultRowHeight="15"/>
  <cols>
    <col width="40" customWidth="1" min="1" max="1"/>
    <col width="15" customWidth="1" min="2" max="2"/>
    <col width="16" customWidth="1" min="3" max="3"/>
    <col width="10" customWidth="1" min="4" max="4"/>
    <col width="21" customWidth="1" min="5" max="5"/>
    <col width="22" customWidth="1" min="6" max="6"/>
    <col width="18" customWidth="1" min="7" max="7"/>
    <col width="19" customWidth="1" min="8" max="8"/>
    <col width="13" customWidth="1" min="9" max="9"/>
    <col width="15" customWidth="1" min="10" max="10"/>
    <col width="21" customWidth="1" min="11" max="11"/>
    <col width="11" customWidth="1" min="12" max="12"/>
    <col width="11" customWidth="1" min="13" max="13"/>
    <col width="17" customWidth="1" min="14" max="14"/>
    <col width="17" customWidth="1" min="15" max="15"/>
    <col width="40" customWidth="1" min="16" max="16"/>
  </cols>
  <sheetData>
    <row r="1" ht="28" customHeight="1">
      <c r="A1" s="8" t="inlineStr">
        <is>
          <t>IT Asset Register — 120 Assets Under Management</t>
        </is>
      </c>
    </row>
    <row r="2" ht="22" customHeight="1">
      <c r="A2" s="9" t="inlineStr">
        <is>
          <t>Asset Tag</t>
        </is>
      </c>
      <c r="B2" s="9" t="inlineStr">
        <is>
          <t>Serial Number</t>
        </is>
      </c>
      <c r="C2" s="9" t="inlineStr">
        <is>
          <t>Device Type</t>
        </is>
      </c>
      <c r="D2" s="9" t="inlineStr">
        <is>
          <t>Make</t>
        </is>
      </c>
      <c r="E2" s="9" t="inlineStr">
        <is>
          <t>Model</t>
        </is>
      </c>
      <c r="F2" s="9" t="inlineStr">
        <is>
          <t>Assigned User</t>
        </is>
      </c>
      <c r="G2" s="9" t="inlineStr">
        <is>
          <t>Department</t>
        </is>
      </c>
      <c r="H2" s="9" t="inlineStr">
        <is>
          <t>Location</t>
        </is>
      </c>
      <c r="I2" s="9" t="inlineStr">
        <is>
          <t>Borough</t>
        </is>
      </c>
      <c r="J2" s="9" t="inlineStr">
        <is>
          <t>Purchase Date</t>
        </is>
      </c>
      <c r="K2" s="9" t="inlineStr">
        <is>
          <t>Warranty Expiration</t>
        </is>
      </c>
      <c r="L2" s="9" t="inlineStr">
        <is>
          <t>Status</t>
        </is>
      </c>
      <c r="M2" s="9" t="inlineStr">
        <is>
          <t>Condition</t>
        </is>
      </c>
      <c r="N2" s="9" t="inlineStr">
        <is>
          <t>Last Audit Date</t>
        </is>
      </c>
      <c r="O2" s="9" t="inlineStr">
        <is>
          <t>Lifecycle Stage</t>
        </is>
      </c>
      <c r="P2" s="9" t="inlineStr">
        <is>
          <t>Notes</t>
        </is>
      </c>
    </row>
    <row r="3">
      <c r="A3" t="inlineStr">
        <is>
          <t>LAP-00001</t>
        </is>
      </c>
      <c r="B3" t="inlineStr">
        <is>
          <t>LEN64480620</t>
        </is>
      </c>
      <c r="C3" t="inlineStr">
        <is>
          <t>Laptop</t>
        </is>
      </c>
      <c r="D3" t="inlineStr">
        <is>
          <t>Lenovo</t>
        </is>
      </c>
      <c r="E3" t="inlineStr">
        <is>
          <t>ThinkPad T14</t>
        </is>
      </c>
      <c r="F3" t="inlineStr">
        <is>
          <t>Maria Gonzalez</t>
        </is>
      </c>
      <c r="G3" t="inlineStr">
        <is>
          <t>Store Operations</t>
        </is>
      </c>
      <c r="H3" t="inlineStr">
        <is>
          <t>DC-NJ</t>
        </is>
      </c>
      <c r="I3" t="inlineStr">
        <is>
          <t>Newark</t>
        </is>
      </c>
      <c r="J3" s="12" t="n">
        <v>45916</v>
      </c>
      <c r="K3" s="12" t="n">
        <v>47011</v>
      </c>
      <c r="L3" t="inlineStr">
        <is>
          <t>Assigned</t>
        </is>
      </c>
      <c r="M3" t="inlineStr">
        <is>
          <t>Good</t>
        </is>
      </c>
      <c r="N3" s="12" t="n">
        <v>46110</v>
      </c>
      <c r="O3" t="inlineStr">
        <is>
          <t>Assigned</t>
        </is>
      </c>
      <c r="P3" t="inlineStr">
        <is>
          <t>Primary workstation — annual audit current.</t>
        </is>
      </c>
    </row>
    <row r="4">
      <c r="A4" t="inlineStr">
        <is>
          <t>LAP-00002</t>
        </is>
      </c>
      <c r="B4" t="inlineStr">
        <is>
          <t>HP77775184</t>
        </is>
      </c>
      <c r="C4" t="inlineStr">
        <is>
          <t>Laptop</t>
        </is>
      </c>
      <c r="D4" t="inlineStr">
        <is>
          <t>HP</t>
        </is>
      </c>
      <c r="E4" t="inlineStr">
        <is>
          <t>EliteBook 840 G10</t>
        </is>
      </c>
      <c r="F4" t="inlineStr"/>
      <c r="G4" t="inlineStr">
        <is>
          <t>Warehouse</t>
        </is>
      </c>
      <c r="H4" t="inlineStr">
        <is>
          <t>DC-PA</t>
        </is>
      </c>
      <c r="I4" t="inlineStr">
        <is>
          <t>Allentown</t>
        </is>
      </c>
      <c r="J4" s="12" t="n">
        <v>45382</v>
      </c>
      <c r="K4" s="12" t="n">
        <v>46477</v>
      </c>
      <c r="L4" t="inlineStr">
        <is>
          <t>In Stock</t>
        </is>
      </c>
      <c r="M4" t="inlineStr">
        <is>
          <t>Excellent</t>
        </is>
      </c>
      <c r="N4" s="12" t="n">
        <v>46087</v>
      </c>
      <c r="O4" t="inlineStr">
        <is>
          <t>In Stock</t>
        </is>
      </c>
      <c r="P4" t="inlineStr">
        <is>
          <t>Spare pool device — ready for deployment.</t>
        </is>
      </c>
    </row>
    <row r="5">
      <c r="A5" t="inlineStr">
        <is>
          <t>DSK-00003</t>
        </is>
      </c>
      <c r="B5" t="inlineStr">
        <is>
          <t>DEL19764854</t>
        </is>
      </c>
      <c r="C5" t="inlineStr">
        <is>
          <t>Desktop</t>
        </is>
      </c>
      <c r="D5" t="inlineStr">
        <is>
          <t>Dell</t>
        </is>
      </c>
      <c r="E5" t="inlineStr">
        <is>
          <t>OptiPlex 7010</t>
        </is>
      </c>
      <c r="F5" t="inlineStr">
        <is>
          <t>James Rivera</t>
        </is>
      </c>
      <c r="G5" t="inlineStr">
        <is>
          <t>Finance</t>
        </is>
      </c>
      <c r="H5" t="inlineStr">
        <is>
          <t>Store-Bronx</t>
        </is>
      </c>
      <c r="I5" t="inlineStr">
        <is>
          <t>Bronx</t>
        </is>
      </c>
      <c r="J5" s="12" t="n">
        <v>45414</v>
      </c>
      <c r="K5" s="12" t="n">
        <v>46509</v>
      </c>
      <c r="L5" t="inlineStr">
        <is>
          <t>Missing</t>
        </is>
      </c>
      <c r="M5" t="inlineStr">
        <is>
          <t>Unknown</t>
        </is>
      </c>
      <c r="N5" s="12" t="n">
        <v>46157</v>
      </c>
      <c r="O5" t="inlineStr">
        <is>
          <t>Assigned</t>
        </is>
      </c>
      <c r="P5" t="inlineStr">
        <is>
          <t>Not located during Q2 physical audit — follow-up open.</t>
        </is>
      </c>
    </row>
    <row r="6">
      <c r="A6" t="inlineStr">
        <is>
          <t>DSK-00004</t>
        </is>
      </c>
      <c r="B6" t="inlineStr">
        <is>
          <t>HP05808826</t>
        </is>
      </c>
      <c r="C6" t="inlineStr">
        <is>
          <t>Desktop</t>
        </is>
      </c>
      <c r="D6" t="inlineStr">
        <is>
          <t>HP</t>
        </is>
      </c>
      <c r="E6" t="inlineStr">
        <is>
          <t>ProDesk 400 G9</t>
        </is>
      </c>
      <c r="F6" t="inlineStr"/>
      <c r="G6" t="inlineStr">
        <is>
          <t>HR</t>
        </is>
      </c>
      <c r="H6" t="inlineStr">
        <is>
          <t>Store-Queens</t>
        </is>
      </c>
      <c r="I6" t="inlineStr">
        <is>
          <t>Queens</t>
        </is>
      </c>
      <c r="J6" s="12" t="n">
        <v>45475</v>
      </c>
      <c r="K6" s="12" t="n">
        <v>46570</v>
      </c>
      <c r="L6" t="inlineStr">
        <is>
          <t>Retired</t>
        </is>
      </c>
      <c r="M6" t="inlineStr">
        <is>
          <t>Fair</t>
        </is>
      </c>
      <c r="N6" s="12" t="n">
        <v>46173</v>
      </c>
      <c r="O6" t="inlineStr">
        <is>
          <t>Retired</t>
        </is>
      </c>
      <c r="P6" t="inlineStr">
        <is>
          <t>End of life — removed from active inventory.</t>
        </is>
      </c>
    </row>
    <row r="7">
      <c r="A7" t="inlineStr">
        <is>
          <t>PRT-00005</t>
        </is>
      </c>
      <c r="B7" t="inlineStr">
        <is>
          <t>HP73094867</t>
        </is>
      </c>
      <c r="C7" t="inlineStr">
        <is>
          <t>Printer</t>
        </is>
      </c>
      <c r="D7" t="inlineStr">
        <is>
          <t>HP</t>
        </is>
      </c>
      <c r="E7" t="inlineStr">
        <is>
          <t>LaserJet Pro M404dn</t>
        </is>
      </c>
      <c r="F7" t="inlineStr">
        <is>
          <t>Former Employee</t>
        </is>
      </c>
      <c r="G7" t="inlineStr">
        <is>
          <t>Procurement</t>
        </is>
      </c>
      <c r="H7" t="inlineStr">
        <is>
          <t>Store-Brooklyn</t>
        </is>
      </c>
      <c r="I7" t="inlineStr">
        <is>
          <t>Brooklyn</t>
        </is>
      </c>
      <c r="J7" s="12" t="n">
        <v>45823</v>
      </c>
      <c r="K7" s="12" t="n">
        <v>46188</v>
      </c>
      <c r="L7" t="inlineStr">
        <is>
          <t>Returned</t>
        </is>
      </c>
      <c r="M7" t="inlineStr">
        <is>
          <t>Poor</t>
        </is>
      </c>
      <c r="N7" s="12" t="n">
        <v>46112</v>
      </c>
      <c r="O7" t="inlineStr">
        <is>
          <t>Retired</t>
        </is>
      </c>
      <c r="P7" t="inlineStr">
        <is>
          <t>Pending disposal — awaiting data wipe and vendor pickup.</t>
        </is>
      </c>
    </row>
    <row r="8">
      <c r="A8" t="inlineStr">
        <is>
          <t>PRT-00006</t>
        </is>
      </c>
      <c r="B8" t="inlineStr">
        <is>
          <t>CAN34405176</t>
        </is>
      </c>
      <c r="C8" t="inlineStr">
        <is>
          <t>Printer</t>
        </is>
      </c>
      <c r="D8" t="inlineStr">
        <is>
          <t>Canon</t>
        </is>
      </c>
      <c r="E8" t="inlineStr">
        <is>
          <t>imageCLASS MF455dw</t>
        </is>
      </c>
      <c r="F8" t="inlineStr">
        <is>
          <t>Carlos Mendez</t>
        </is>
      </c>
      <c r="G8" t="inlineStr">
        <is>
          <t>Customer Service</t>
        </is>
      </c>
      <c r="H8" t="inlineStr">
        <is>
          <t>Store-Manhattan</t>
        </is>
      </c>
      <c r="I8" t="inlineStr">
        <is>
          <t>Manhattan</t>
        </is>
      </c>
      <c r="J8" s="12" t="n">
        <v>45097</v>
      </c>
      <c r="K8" s="12" t="n">
        <v>45462</v>
      </c>
      <c r="L8" t="inlineStr">
        <is>
          <t>In Repair</t>
        </is>
      </c>
      <c r="M8" t="inlineStr">
        <is>
          <t>Damaged</t>
        </is>
      </c>
      <c r="N8" s="12" t="n">
        <v>46177</v>
      </c>
      <c r="O8" t="inlineStr">
        <is>
          <t>In Repair</t>
        </is>
      </c>
      <c r="P8" t="inlineStr">
        <is>
          <t>Keyboard replacement — vendor RMA in progress.</t>
        </is>
      </c>
    </row>
    <row r="9">
      <c r="A9" t="inlineStr">
        <is>
          <t>SCN-00007</t>
        </is>
      </c>
      <c r="B9" t="inlineStr">
        <is>
          <t>FUJ39439304</t>
        </is>
      </c>
      <c r="C9" t="inlineStr">
        <is>
          <t>Scanner</t>
        </is>
      </c>
      <c r="D9" t="inlineStr">
        <is>
          <t>Fujitsu</t>
        </is>
      </c>
      <c r="E9" t="inlineStr">
        <is>
          <t>fi-7160</t>
        </is>
      </c>
      <c r="F9" t="inlineStr"/>
      <c r="G9" t="inlineStr">
        <is>
          <t>Field Support</t>
        </is>
      </c>
      <c r="H9" t="inlineStr">
        <is>
          <t>Store-WhitePlains</t>
        </is>
      </c>
      <c r="I9" t="inlineStr">
        <is>
          <t>Westchester</t>
        </is>
      </c>
      <c r="J9" s="12" t="n">
        <v>44899</v>
      </c>
      <c r="K9" s="12" t="n">
        <v>45264</v>
      </c>
      <c r="L9" t="inlineStr">
        <is>
          <t>Disposed</t>
        </is>
      </c>
      <c r="M9" t="inlineStr">
        <is>
          <t>Poor</t>
        </is>
      </c>
      <c r="N9" s="12" t="n">
        <v>46114</v>
      </c>
      <c r="O9" t="inlineStr">
        <is>
          <t>Disposed</t>
        </is>
      </c>
      <c r="P9" t="inlineStr">
        <is>
          <t>Disposed per certificate IT-DSP-2025-0142.</t>
        </is>
      </c>
    </row>
    <row r="10">
      <c r="A10" t="inlineStr">
        <is>
          <t>MON-00008</t>
        </is>
      </c>
      <c r="B10" t="inlineStr">
        <is>
          <t>LG56941867</t>
        </is>
      </c>
      <c r="C10" t="inlineStr">
        <is>
          <t>Monitor</t>
        </is>
      </c>
      <c r="D10" t="inlineStr">
        <is>
          <t>LG</t>
        </is>
      </c>
      <c r="E10" t="inlineStr">
        <is>
          <t>27BN85U-N</t>
        </is>
      </c>
      <c r="F10" t="inlineStr">
        <is>
          <t>Allison Hill</t>
        </is>
      </c>
      <c r="G10" t="inlineStr">
        <is>
          <t>Finance</t>
        </is>
      </c>
      <c r="H10" t="inlineStr">
        <is>
          <t>DC-PA</t>
        </is>
      </c>
      <c r="I10" t="inlineStr">
        <is>
          <t>Allentown</t>
        </is>
      </c>
      <c r="J10" s="12" t="n">
        <v>45889</v>
      </c>
      <c r="K10" s="12" t="n">
        <v>46254</v>
      </c>
      <c r="L10" t="inlineStr">
        <is>
          <t>Assigned</t>
        </is>
      </c>
      <c r="M10" t="inlineStr">
        <is>
          <t>Good</t>
        </is>
      </c>
      <c r="N10" s="12" t="n">
        <v>46173</v>
      </c>
      <c r="O10" t="inlineStr">
        <is>
          <t>Assigned</t>
        </is>
      </c>
      <c r="P10" t="inlineStr"/>
    </row>
    <row r="11">
      <c r="A11" t="inlineStr">
        <is>
          <t>LAP-00009</t>
        </is>
      </c>
      <c r="B11" t="inlineStr">
        <is>
          <t>LEN82266181</t>
        </is>
      </c>
      <c r="C11" t="inlineStr">
        <is>
          <t>Laptop</t>
        </is>
      </c>
      <c r="D11" t="inlineStr">
        <is>
          <t>Lenovo</t>
        </is>
      </c>
      <c r="E11" t="inlineStr">
        <is>
          <t>ThinkPad T14</t>
        </is>
      </c>
      <c r="F11" t="inlineStr">
        <is>
          <t>Noah Rhodes</t>
        </is>
      </c>
      <c r="G11" t="inlineStr">
        <is>
          <t>Customer Service</t>
        </is>
      </c>
      <c r="H11" t="inlineStr">
        <is>
          <t>Store-Bronx</t>
        </is>
      </c>
      <c r="I11" t="inlineStr">
        <is>
          <t>Bronx</t>
        </is>
      </c>
      <c r="J11" s="12" t="n">
        <v>44671</v>
      </c>
      <c r="K11" s="12" t="n">
        <v>45766</v>
      </c>
      <c r="L11" t="inlineStr">
        <is>
          <t>In Repair</t>
        </is>
      </c>
      <c r="M11" t="inlineStr">
        <is>
          <t>Damaged</t>
        </is>
      </c>
      <c r="N11" s="12" t="n">
        <v>46155</v>
      </c>
      <c r="O11" t="inlineStr">
        <is>
          <t>In Repair</t>
        </is>
      </c>
      <c r="P11" t="inlineStr">
        <is>
          <t>Auto-generated record — status In Repair.</t>
        </is>
      </c>
    </row>
    <row r="12">
      <c r="A12" t="inlineStr">
        <is>
          <t>MON-00010</t>
        </is>
      </c>
      <c r="B12" t="inlineStr">
        <is>
          <t>LG27545501</t>
        </is>
      </c>
      <c r="C12" t="inlineStr">
        <is>
          <t>Monitor</t>
        </is>
      </c>
      <c r="D12" t="inlineStr">
        <is>
          <t>LG</t>
        </is>
      </c>
      <c r="E12" t="inlineStr">
        <is>
          <t>27BN85U-N</t>
        </is>
      </c>
      <c r="F12" t="inlineStr"/>
      <c r="G12" t="inlineStr">
        <is>
          <t>Customer Service</t>
        </is>
      </c>
      <c r="H12" t="inlineStr">
        <is>
          <t>DC-NY</t>
        </is>
      </c>
      <c r="I12" t="inlineStr">
        <is>
          <t>Queens</t>
        </is>
      </c>
      <c r="J12" s="12" t="n">
        <v>44749</v>
      </c>
      <c r="K12" s="12" t="n">
        <v>45114</v>
      </c>
      <c r="L12" t="inlineStr">
        <is>
          <t>In Stock</t>
        </is>
      </c>
      <c r="M12" t="inlineStr">
        <is>
          <t>Fair</t>
        </is>
      </c>
      <c r="N12" s="12" t="n">
        <v>46118</v>
      </c>
      <c r="O12" t="inlineStr">
        <is>
          <t>In Stock</t>
        </is>
      </c>
      <c r="P12" t="inlineStr">
        <is>
          <t>Auto-generated record — status In Stock.</t>
        </is>
      </c>
    </row>
    <row r="13">
      <c r="A13" t="inlineStr">
        <is>
          <t>DSK-00011</t>
        </is>
      </c>
      <c r="B13" t="inlineStr">
        <is>
          <t>DEL07565505</t>
        </is>
      </c>
      <c r="C13" t="inlineStr">
        <is>
          <t>Desktop</t>
        </is>
      </c>
      <c r="D13" t="inlineStr">
        <is>
          <t>Dell</t>
        </is>
      </c>
      <c r="E13" t="inlineStr">
        <is>
          <t>OptiPlex 7010</t>
        </is>
      </c>
      <c r="F13" t="inlineStr">
        <is>
          <t>Angie Henderson</t>
        </is>
      </c>
      <c r="G13" t="inlineStr">
        <is>
          <t>Finance</t>
        </is>
      </c>
      <c r="H13" t="inlineStr">
        <is>
          <t>DC-NJ</t>
        </is>
      </c>
      <c r="I13" t="inlineStr">
        <is>
          <t>Newark</t>
        </is>
      </c>
      <c r="J13" s="12" t="n">
        <v>44955</v>
      </c>
      <c r="K13" s="12" t="n">
        <v>46050</v>
      </c>
      <c r="L13" t="inlineStr">
        <is>
          <t>Assigned</t>
        </is>
      </c>
      <c r="M13" t="inlineStr">
        <is>
          <t>Damaged</t>
        </is>
      </c>
      <c r="N13" s="12" t="n">
        <v>46134</v>
      </c>
      <c r="O13" t="inlineStr">
        <is>
          <t>Assigned</t>
        </is>
      </c>
      <c r="P13" t="inlineStr"/>
    </row>
    <row r="14">
      <c r="A14" t="inlineStr">
        <is>
          <t>MON-00012</t>
        </is>
      </c>
      <c r="B14" t="inlineStr">
        <is>
          <t>LG24980280</t>
        </is>
      </c>
      <c r="C14" t="inlineStr">
        <is>
          <t>Monitor</t>
        </is>
      </c>
      <c r="D14" t="inlineStr">
        <is>
          <t>LG</t>
        </is>
      </c>
      <c r="E14" t="inlineStr">
        <is>
          <t>27BN85U-N</t>
        </is>
      </c>
      <c r="F14" t="inlineStr">
        <is>
          <t>Daniel Wagner</t>
        </is>
      </c>
      <c r="G14" t="inlineStr">
        <is>
          <t>HR</t>
        </is>
      </c>
      <c r="H14" t="inlineStr">
        <is>
          <t>Store-Bronx</t>
        </is>
      </c>
      <c r="I14" t="inlineStr">
        <is>
          <t>Bronx</t>
        </is>
      </c>
      <c r="J14" s="12" t="n">
        <v>46061</v>
      </c>
      <c r="K14" s="12" t="n">
        <v>46426</v>
      </c>
      <c r="L14" t="inlineStr">
        <is>
          <t>Assigned</t>
        </is>
      </c>
      <c r="M14" t="inlineStr">
        <is>
          <t>Damaged</t>
        </is>
      </c>
      <c r="N14" s="12" t="n">
        <v>46175</v>
      </c>
      <c r="O14" t="inlineStr">
        <is>
          <t>Assigned</t>
        </is>
      </c>
      <c r="P14" t="inlineStr"/>
    </row>
    <row r="15">
      <c r="A15" t="inlineStr">
        <is>
          <t>MON-00013</t>
        </is>
      </c>
      <c r="B15" t="inlineStr">
        <is>
          <t>LG57964448</t>
        </is>
      </c>
      <c r="C15" t="inlineStr">
        <is>
          <t>Monitor</t>
        </is>
      </c>
      <c r="D15" t="inlineStr">
        <is>
          <t>LG</t>
        </is>
      </c>
      <c r="E15" t="inlineStr">
        <is>
          <t>27BN85U-N</t>
        </is>
      </c>
      <c r="F15" t="inlineStr"/>
      <c r="G15" t="inlineStr">
        <is>
          <t>Field Support</t>
        </is>
      </c>
      <c r="H15" t="inlineStr">
        <is>
          <t>Store-Bronx</t>
        </is>
      </c>
      <c r="I15" t="inlineStr">
        <is>
          <t>Bronx</t>
        </is>
      </c>
      <c r="J15" s="12" t="n">
        <v>45605</v>
      </c>
      <c r="K15" s="12" t="n">
        <v>45970</v>
      </c>
      <c r="L15" t="inlineStr">
        <is>
          <t>In Stock</t>
        </is>
      </c>
      <c r="M15" t="inlineStr">
        <is>
          <t>Excellent</t>
        </is>
      </c>
      <c r="N15" s="12" t="n">
        <v>46135</v>
      </c>
      <c r="O15" t="inlineStr">
        <is>
          <t>In Stock</t>
        </is>
      </c>
      <c r="P15" t="inlineStr">
        <is>
          <t>Auto-generated record — status In Stock.</t>
        </is>
      </c>
    </row>
    <row r="16">
      <c r="A16" t="inlineStr">
        <is>
          <t>DSK-00014</t>
        </is>
      </c>
      <c r="B16" t="inlineStr">
        <is>
          <t>HP64719591</t>
        </is>
      </c>
      <c r="C16" t="inlineStr">
        <is>
          <t>Desktop</t>
        </is>
      </c>
      <c r="D16" t="inlineStr">
        <is>
          <t>HP</t>
        </is>
      </c>
      <c r="E16" t="inlineStr">
        <is>
          <t>ProDesk 400 G9</t>
        </is>
      </c>
      <c r="F16" t="inlineStr">
        <is>
          <t>Cristian Santos</t>
        </is>
      </c>
      <c r="G16" t="inlineStr">
        <is>
          <t>Warehouse</t>
        </is>
      </c>
      <c r="H16" t="inlineStr">
        <is>
          <t>DC-PA</t>
        </is>
      </c>
      <c r="I16" t="inlineStr">
        <is>
          <t>Allentown</t>
        </is>
      </c>
      <c r="J16" s="12" t="n">
        <v>46075</v>
      </c>
      <c r="K16" s="12" t="n">
        <v>47170</v>
      </c>
      <c r="L16" t="inlineStr">
        <is>
          <t>Assigned</t>
        </is>
      </c>
      <c r="M16" t="inlineStr">
        <is>
          <t>Poor</t>
        </is>
      </c>
      <c r="N16" s="12" t="n">
        <v>46116</v>
      </c>
      <c r="O16" t="inlineStr">
        <is>
          <t>Assigned</t>
        </is>
      </c>
      <c r="P16" t="inlineStr"/>
    </row>
    <row r="17">
      <c r="A17" t="inlineStr">
        <is>
          <t>PRT-00015</t>
        </is>
      </c>
      <c r="B17" t="inlineStr">
        <is>
          <t>CAN66639031</t>
        </is>
      </c>
      <c r="C17" t="inlineStr">
        <is>
          <t>Printer</t>
        </is>
      </c>
      <c r="D17" t="inlineStr">
        <is>
          <t>Canon</t>
        </is>
      </c>
      <c r="E17" t="inlineStr">
        <is>
          <t>imageCLASS MF455dw</t>
        </is>
      </c>
      <c r="F17" t="inlineStr">
        <is>
          <t>Connie Lawrence</t>
        </is>
      </c>
      <c r="G17" t="inlineStr">
        <is>
          <t>Finance</t>
        </is>
      </c>
      <c r="H17" t="inlineStr">
        <is>
          <t>Store-Yonkers</t>
        </is>
      </c>
      <c r="I17" t="inlineStr">
        <is>
          <t>Westchester</t>
        </is>
      </c>
      <c r="J17" s="12" t="n">
        <v>45340</v>
      </c>
      <c r="K17" s="12" t="n">
        <v>45705</v>
      </c>
      <c r="L17" t="inlineStr">
        <is>
          <t>Assigned</t>
        </is>
      </c>
      <c r="M17" t="inlineStr">
        <is>
          <t>Good</t>
        </is>
      </c>
      <c r="N17" s="12" t="n">
        <v>46165</v>
      </c>
      <c r="O17" t="inlineStr">
        <is>
          <t>Assigned</t>
        </is>
      </c>
      <c r="P17" t="inlineStr"/>
    </row>
    <row r="18">
      <c r="A18" t="inlineStr">
        <is>
          <t>DSK-00016</t>
        </is>
      </c>
      <c r="B18" t="inlineStr">
        <is>
          <t>HP79272774</t>
        </is>
      </c>
      <c r="C18" t="inlineStr">
        <is>
          <t>Desktop</t>
        </is>
      </c>
      <c r="D18" t="inlineStr">
        <is>
          <t>HP</t>
        </is>
      </c>
      <c r="E18" t="inlineStr">
        <is>
          <t>ProDesk 400 G9</t>
        </is>
      </c>
      <c r="F18" t="inlineStr"/>
      <c r="G18" t="inlineStr">
        <is>
          <t>Warehouse</t>
        </is>
      </c>
      <c r="H18" t="inlineStr">
        <is>
          <t>HQ-Queens</t>
        </is>
      </c>
      <c r="I18" t="inlineStr">
        <is>
          <t>Queens</t>
        </is>
      </c>
      <c r="J18" s="12" t="n">
        <v>44538</v>
      </c>
      <c r="K18" s="12" t="n">
        <v>45633</v>
      </c>
      <c r="L18" t="inlineStr">
        <is>
          <t>In Stock</t>
        </is>
      </c>
      <c r="M18" t="inlineStr">
        <is>
          <t>Fair</t>
        </is>
      </c>
      <c r="N18" s="12" t="n">
        <v>46169</v>
      </c>
      <c r="O18" t="inlineStr">
        <is>
          <t>In Stock</t>
        </is>
      </c>
      <c r="P18" t="inlineStr">
        <is>
          <t>Auto-generated record — status In Stock.</t>
        </is>
      </c>
    </row>
    <row r="19">
      <c r="A19" t="inlineStr">
        <is>
          <t>MON-00017</t>
        </is>
      </c>
      <c r="B19" t="inlineStr">
        <is>
          <t>DEL72738551</t>
        </is>
      </c>
      <c r="C19" t="inlineStr">
        <is>
          <t>Monitor</t>
        </is>
      </c>
      <c r="D19" t="inlineStr">
        <is>
          <t>Dell</t>
        </is>
      </c>
      <c r="E19" t="inlineStr">
        <is>
          <t>UltraSharp U2723QE</t>
        </is>
      </c>
      <c r="F19" t="inlineStr"/>
      <c r="G19" t="inlineStr">
        <is>
          <t>IT</t>
        </is>
      </c>
      <c r="H19" t="inlineStr">
        <is>
          <t>Store-Bronx</t>
        </is>
      </c>
      <c r="I19" t="inlineStr">
        <is>
          <t>Bronx</t>
        </is>
      </c>
      <c r="J19" s="12" t="n">
        <v>45947</v>
      </c>
      <c r="K19" s="12" t="n">
        <v>46312</v>
      </c>
      <c r="L19" t="inlineStr">
        <is>
          <t>Retired</t>
        </is>
      </c>
      <c r="M19" t="inlineStr">
        <is>
          <t>Excellent</t>
        </is>
      </c>
      <c r="N19" s="12" t="n">
        <v>46147</v>
      </c>
      <c r="O19" t="inlineStr">
        <is>
          <t>Retired</t>
        </is>
      </c>
      <c r="P19" t="inlineStr">
        <is>
          <t>Auto-generated record — status Retired.</t>
        </is>
      </c>
    </row>
    <row r="20">
      <c r="A20" t="inlineStr">
        <is>
          <t>PRT-00018</t>
        </is>
      </c>
      <c r="B20" t="inlineStr">
        <is>
          <t>CAN36150660</t>
        </is>
      </c>
      <c r="C20" t="inlineStr">
        <is>
          <t>Printer</t>
        </is>
      </c>
      <c r="D20" t="inlineStr">
        <is>
          <t>Canon</t>
        </is>
      </c>
      <c r="E20" t="inlineStr">
        <is>
          <t>imageCLASS MF455dw</t>
        </is>
      </c>
      <c r="F20" t="inlineStr"/>
      <c r="G20" t="inlineStr">
        <is>
          <t>IT</t>
        </is>
      </c>
      <c r="H20" t="inlineStr">
        <is>
          <t>Store-Stamford</t>
        </is>
      </c>
      <c r="I20" t="inlineStr">
        <is>
          <t>Stamford</t>
        </is>
      </c>
      <c r="J20" s="12" t="n">
        <v>44798</v>
      </c>
      <c r="K20" s="12" t="n">
        <v>45163</v>
      </c>
      <c r="L20" t="inlineStr">
        <is>
          <t>In Stock</t>
        </is>
      </c>
      <c r="M20" t="inlineStr">
        <is>
          <t>Poor</t>
        </is>
      </c>
      <c r="N20" s="12" t="n">
        <v>46150</v>
      </c>
      <c r="O20" t="inlineStr">
        <is>
          <t>In Stock</t>
        </is>
      </c>
      <c r="P20" t="inlineStr">
        <is>
          <t>Auto-generated record — status In Stock.</t>
        </is>
      </c>
    </row>
    <row r="21">
      <c r="A21" t="inlineStr">
        <is>
          <t>MON-00019</t>
        </is>
      </c>
      <c r="B21" t="inlineStr">
        <is>
          <t>DEL61611571</t>
        </is>
      </c>
      <c r="C21" t="inlineStr">
        <is>
          <t>Monitor</t>
        </is>
      </c>
      <c r="D21" t="inlineStr">
        <is>
          <t>Dell</t>
        </is>
      </c>
      <c r="E21" t="inlineStr">
        <is>
          <t>UltraSharp U2723QE</t>
        </is>
      </c>
      <c r="F21" t="inlineStr">
        <is>
          <t>Abigail Shaffer</t>
        </is>
      </c>
      <c r="G21" t="inlineStr">
        <is>
          <t>Customer Service</t>
        </is>
      </c>
      <c r="H21" t="inlineStr">
        <is>
          <t>Store-Queens</t>
        </is>
      </c>
      <c r="I21" t="inlineStr">
        <is>
          <t>Queens</t>
        </is>
      </c>
      <c r="J21" s="12" t="n">
        <v>46042</v>
      </c>
      <c r="K21" s="12" t="n">
        <v>46407</v>
      </c>
      <c r="L21" t="inlineStr">
        <is>
          <t>Assigned</t>
        </is>
      </c>
      <c r="M21" t="inlineStr">
        <is>
          <t>Excellent</t>
        </is>
      </c>
      <c r="N21" s="12" t="n">
        <v>46162</v>
      </c>
      <c r="O21" t="inlineStr">
        <is>
          <t>Assigned</t>
        </is>
      </c>
      <c r="P21" t="inlineStr"/>
    </row>
    <row r="22">
      <c r="A22" t="inlineStr">
        <is>
          <t>DSK-00020</t>
        </is>
      </c>
      <c r="B22" t="inlineStr">
        <is>
          <t>HP20194447</t>
        </is>
      </c>
      <c r="C22" t="inlineStr">
        <is>
          <t>Desktop</t>
        </is>
      </c>
      <c r="D22" t="inlineStr">
        <is>
          <t>HP</t>
        </is>
      </c>
      <c r="E22" t="inlineStr">
        <is>
          <t>ProDesk 400 G9</t>
        </is>
      </c>
      <c r="F22" t="inlineStr">
        <is>
          <t>Gina Moore</t>
        </is>
      </c>
      <c r="G22" t="inlineStr">
        <is>
          <t>Field Support</t>
        </is>
      </c>
      <c r="H22" t="inlineStr">
        <is>
          <t>HQ-Queens</t>
        </is>
      </c>
      <c r="I22" t="inlineStr">
        <is>
          <t>Queens</t>
        </is>
      </c>
      <c r="J22" s="12" t="n">
        <v>45106</v>
      </c>
      <c r="K22" s="12" t="n">
        <v>46201</v>
      </c>
      <c r="L22" t="inlineStr">
        <is>
          <t>Assigned</t>
        </is>
      </c>
      <c r="M22" t="inlineStr">
        <is>
          <t>Poor</t>
        </is>
      </c>
      <c r="N22" s="12" t="n">
        <v>46132</v>
      </c>
      <c r="O22" t="inlineStr">
        <is>
          <t>Assigned</t>
        </is>
      </c>
      <c r="P22" t="inlineStr"/>
    </row>
    <row r="23">
      <c r="A23" t="inlineStr">
        <is>
          <t>LAP-00021</t>
        </is>
      </c>
      <c r="B23" t="inlineStr">
        <is>
          <t>DEL15548293</t>
        </is>
      </c>
      <c r="C23" t="inlineStr">
        <is>
          <t>Laptop</t>
        </is>
      </c>
      <c r="D23" t="inlineStr">
        <is>
          <t>Dell</t>
        </is>
      </c>
      <c r="E23" t="inlineStr">
        <is>
          <t>Latitude 5540</t>
        </is>
      </c>
      <c r="F23" t="inlineStr">
        <is>
          <t>Gabrielle Davis</t>
        </is>
      </c>
      <c r="G23" t="inlineStr">
        <is>
          <t>Warehouse</t>
        </is>
      </c>
      <c r="H23" t="inlineStr">
        <is>
          <t>DC-NY</t>
        </is>
      </c>
      <c r="I23" t="inlineStr">
        <is>
          <t>Queens</t>
        </is>
      </c>
      <c r="J23" s="12" t="n">
        <v>45270</v>
      </c>
      <c r="K23" s="12" t="n">
        <v>46365</v>
      </c>
      <c r="L23" t="inlineStr">
        <is>
          <t>Assigned</t>
        </is>
      </c>
      <c r="M23" t="inlineStr">
        <is>
          <t>Fair</t>
        </is>
      </c>
      <c r="N23" s="12" t="n">
        <v>46092</v>
      </c>
      <c r="O23" t="inlineStr">
        <is>
          <t>Assigned</t>
        </is>
      </c>
      <c r="P23" t="inlineStr"/>
    </row>
    <row r="24">
      <c r="A24" t="inlineStr">
        <is>
          <t>SCN-00022</t>
        </is>
      </c>
      <c r="B24" t="inlineStr">
        <is>
          <t>FUJ08513531</t>
        </is>
      </c>
      <c r="C24" t="inlineStr">
        <is>
          <t>Scanner</t>
        </is>
      </c>
      <c r="D24" t="inlineStr">
        <is>
          <t>Fujitsu</t>
        </is>
      </c>
      <c r="E24" t="inlineStr">
        <is>
          <t>fi-7160</t>
        </is>
      </c>
      <c r="F24" t="inlineStr">
        <is>
          <t>Ryan Munoz</t>
        </is>
      </c>
      <c r="G24" t="inlineStr">
        <is>
          <t>Customer Service</t>
        </is>
      </c>
      <c r="H24" t="inlineStr">
        <is>
          <t>Store-Manhattan</t>
        </is>
      </c>
      <c r="I24" t="inlineStr">
        <is>
          <t>Manhattan</t>
        </is>
      </c>
      <c r="J24" s="12" t="n">
        <v>45353</v>
      </c>
      <c r="K24" s="12" t="n">
        <v>45718</v>
      </c>
      <c r="L24" t="inlineStr">
        <is>
          <t>Assigned</t>
        </is>
      </c>
      <c r="M24" t="inlineStr">
        <is>
          <t>Good</t>
        </is>
      </c>
      <c r="N24" s="12" t="n">
        <v>46104</v>
      </c>
      <c r="O24" t="inlineStr">
        <is>
          <t>Assigned</t>
        </is>
      </c>
      <c r="P24" t="inlineStr"/>
    </row>
    <row r="25">
      <c r="A25" t="inlineStr">
        <is>
          <t>MOB-00023</t>
        </is>
      </c>
      <c r="B25" t="inlineStr">
        <is>
          <t>SAM97316992</t>
        </is>
      </c>
      <c r="C25" t="inlineStr">
        <is>
          <t>Mobile Phone</t>
        </is>
      </c>
      <c r="D25" t="inlineStr">
        <is>
          <t>Samsung</t>
        </is>
      </c>
      <c r="E25" t="inlineStr">
        <is>
          <t>Galaxy S24</t>
        </is>
      </c>
      <c r="F25" t="inlineStr"/>
      <c r="G25" t="inlineStr">
        <is>
          <t>IT</t>
        </is>
      </c>
      <c r="H25" t="inlineStr">
        <is>
          <t>Store-Yonkers</t>
        </is>
      </c>
      <c r="I25" t="inlineStr">
        <is>
          <t>Westchester</t>
        </is>
      </c>
      <c r="J25" s="12" t="n">
        <v>45627</v>
      </c>
      <c r="K25" s="12" t="n">
        <v>46722</v>
      </c>
      <c r="L25" t="inlineStr">
        <is>
          <t>In Stock</t>
        </is>
      </c>
      <c r="M25" t="inlineStr">
        <is>
          <t>Poor</t>
        </is>
      </c>
      <c r="N25" s="12" t="n">
        <v>46116</v>
      </c>
      <c r="O25" t="inlineStr">
        <is>
          <t>In Stock</t>
        </is>
      </c>
      <c r="P25" t="inlineStr">
        <is>
          <t>Auto-generated record — status In Stock.</t>
        </is>
      </c>
    </row>
    <row r="26">
      <c r="A26" t="inlineStr">
        <is>
          <t>DSK-00024</t>
        </is>
      </c>
      <c r="B26" t="inlineStr">
        <is>
          <t>DEL48932962</t>
        </is>
      </c>
      <c r="C26" t="inlineStr">
        <is>
          <t>Desktop</t>
        </is>
      </c>
      <c r="D26" t="inlineStr">
        <is>
          <t>Dell</t>
        </is>
      </c>
      <c r="E26" t="inlineStr">
        <is>
          <t>OptiPlex 7010</t>
        </is>
      </c>
      <c r="F26" t="inlineStr">
        <is>
          <t>Monica Herrera</t>
        </is>
      </c>
      <c r="G26" t="inlineStr">
        <is>
          <t>Store Operations</t>
        </is>
      </c>
      <c r="H26" t="inlineStr">
        <is>
          <t>DC-NY</t>
        </is>
      </c>
      <c r="I26" t="inlineStr">
        <is>
          <t>Queens</t>
        </is>
      </c>
      <c r="J26" s="12" t="n">
        <v>45152</v>
      </c>
      <c r="K26" s="12" t="n">
        <v>46247</v>
      </c>
      <c r="L26" t="inlineStr">
        <is>
          <t>Assigned</t>
        </is>
      </c>
      <c r="M26" t="inlineStr">
        <is>
          <t>Good</t>
        </is>
      </c>
      <c r="N26" s="12" t="n">
        <v>46104</v>
      </c>
      <c r="O26" t="inlineStr">
        <is>
          <t>Assigned</t>
        </is>
      </c>
      <c r="P26" t="inlineStr"/>
    </row>
    <row r="27">
      <c r="A27" t="inlineStr">
        <is>
          <t>MOB-00025</t>
        </is>
      </c>
      <c r="B27" t="inlineStr">
        <is>
          <t>APP50249918</t>
        </is>
      </c>
      <c r="C27" t="inlineStr">
        <is>
          <t>Mobile Phone</t>
        </is>
      </c>
      <c r="D27" t="inlineStr">
        <is>
          <t>Apple</t>
        </is>
      </c>
      <c r="E27" t="inlineStr">
        <is>
          <t>iPhone 15</t>
        </is>
      </c>
      <c r="F27" t="inlineStr">
        <is>
          <t>Jamie Arnold</t>
        </is>
      </c>
      <c r="G27" t="inlineStr">
        <is>
          <t>Field Support</t>
        </is>
      </c>
      <c r="H27" t="inlineStr">
        <is>
          <t>Store-Manhattan</t>
        </is>
      </c>
      <c r="I27" t="inlineStr">
        <is>
          <t>Manhattan</t>
        </is>
      </c>
      <c r="J27" s="12" t="n">
        <v>45670</v>
      </c>
      <c r="K27" s="12" t="n">
        <v>46765</v>
      </c>
      <c r="L27" t="inlineStr">
        <is>
          <t>Missing</t>
        </is>
      </c>
      <c r="M27" t="inlineStr">
        <is>
          <t>Excellent</t>
        </is>
      </c>
      <c r="N27" s="12" t="n">
        <v>46181</v>
      </c>
      <c r="O27" t="inlineStr">
        <is>
          <t>Assigned</t>
        </is>
      </c>
      <c r="P27" t="inlineStr">
        <is>
          <t>Auto-generated record — status Missing.</t>
        </is>
      </c>
    </row>
    <row r="28">
      <c r="A28" t="inlineStr">
        <is>
          <t>LAP-00026</t>
        </is>
      </c>
      <c r="B28" t="inlineStr">
        <is>
          <t>LEN43073643</t>
        </is>
      </c>
      <c r="C28" t="inlineStr">
        <is>
          <t>Laptop</t>
        </is>
      </c>
      <c r="D28" t="inlineStr">
        <is>
          <t>Lenovo</t>
        </is>
      </c>
      <c r="E28" t="inlineStr">
        <is>
          <t>ThinkPad T14</t>
        </is>
      </c>
      <c r="F28" t="inlineStr"/>
      <c r="G28" t="inlineStr">
        <is>
          <t>Customer Service</t>
        </is>
      </c>
      <c r="H28" t="inlineStr">
        <is>
          <t>Store-Yonkers</t>
        </is>
      </c>
      <c r="I28" t="inlineStr">
        <is>
          <t>Westchester</t>
        </is>
      </c>
      <c r="J28" s="12" t="n">
        <v>44569</v>
      </c>
      <c r="K28" s="12" t="n">
        <v>45664</v>
      </c>
      <c r="L28" t="inlineStr">
        <is>
          <t>Retired</t>
        </is>
      </c>
      <c r="M28" t="inlineStr">
        <is>
          <t>Excellent</t>
        </is>
      </c>
      <c r="N28" s="12" t="n">
        <v>46140</v>
      </c>
      <c r="O28" t="inlineStr">
        <is>
          <t>Retired</t>
        </is>
      </c>
      <c r="P28" t="inlineStr">
        <is>
          <t>Auto-generated record — status Retired.</t>
        </is>
      </c>
    </row>
    <row r="29">
      <c r="A29" t="inlineStr">
        <is>
          <t>NET-00027</t>
        </is>
      </c>
      <c r="B29" t="inlineStr">
        <is>
          <t>CIS92010881</t>
        </is>
      </c>
      <c r="C29" t="inlineStr">
        <is>
          <t>Network Device</t>
        </is>
      </c>
      <c r="D29" t="inlineStr">
        <is>
          <t>Cisco</t>
        </is>
      </c>
      <c r="E29" t="inlineStr">
        <is>
          <t>Meraki MR46</t>
        </is>
      </c>
      <c r="F29" t="inlineStr">
        <is>
          <t>Lisa Hensley</t>
        </is>
      </c>
      <c r="G29" t="inlineStr">
        <is>
          <t>Procurement</t>
        </is>
      </c>
      <c r="H29" t="inlineStr">
        <is>
          <t>DC-NJ</t>
        </is>
      </c>
      <c r="I29" t="inlineStr">
        <is>
          <t>Newark</t>
        </is>
      </c>
      <c r="J29" s="12" t="n">
        <v>44819</v>
      </c>
      <c r="K29" s="12" t="n">
        <v>45184</v>
      </c>
      <c r="L29" t="inlineStr">
        <is>
          <t>Assigned</t>
        </is>
      </c>
      <c r="M29" t="inlineStr">
        <is>
          <t>Excellent</t>
        </is>
      </c>
      <c r="N29" s="12" t="n">
        <v>46092</v>
      </c>
      <c r="O29" t="inlineStr">
        <is>
          <t>Assigned</t>
        </is>
      </c>
      <c r="P29" t="inlineStr"/>
    </row>
    <row r="30">
      <c r="A30" t="inlineStr">
        <is>
          <t>MON-00028</t>
        </is>
      </c>
      <c r="B30" t="inlineStr">
        <is>
          <t>DEL23973945</t>
        </is>
      </c>
      <c r="C30" t="inlineStr">
        <is>
          <t>Monitor</t>
        </is>
      </c>
      <c r="D30" t="inlineStr">
        <is>
          <t>Dell</t>
        </is>
      </c>
      <c r="E30" t="inlineStr">
        <is>
          <t>UltraSharp U2723QE</t>
        </is>
      </c>
      <c r="F30" t="inlineStr"/>
      <c r="G30" t="inlineStr">
        <is>
          <t>Warehouse</t>
        </is>
      </c>
      <c r="H30" t="inlineStr">
        <is>
          <t>DC-PA</t>
        </is>
      </c>
      <c r="I30" t="inlineStr">
        <is>
          <t>Allentown</t>
        </is>
      </c>
      <c r="J30" s="12" t="n">
        <v>45075</v>
      </c>
      <c r="K30" s="12" t="n">
        <v>45440</v>
      </c>
      <c r="L30" t="inlineStr">
        <is>
          <t>Retired</t>
        </is>
      </c>
      <c r="M30" t="inlineStr">
        <is>
          <t>Excellent</t>
        </is>
      </c>
      <c r="N30" s="12" t="n">
        <v>46177</v>
      </c>
      <c r="O30" t="inlineStr">
        <is>
          <t>Retired</t>
        </is>
      </c>
      <c r="P30" t="inlineStr">
        <is>
          <t>Auto-generated record — status Retired.</t>
        </is>
      </c>
    </row>
    <row r="31">
      <c r="A31" t="inlineStr">
        <is>
          <t>PRT-00029</t>
        </is>
      </c>
      <c r="B31" t="inlineStr">
        <is>
          <t>CAN06912596</t>
        </is>
      </c>
      <c r="C31" t="inlineStr">
        <is>
          <t>Printer</t>
        </is>
      </c>
      <c r="D31" t="inlineStr">
        <is>
          <t>Canon</t>
        </is>
      </c>
      <c r="E31" t="inlineStr">
        <is>
          <t>imageCLASS MF455dw</t>
        </is>
      </c>
      <c r="F31" t="inlineStr">
        <is>
          <t>Michele Williams</t>
        </is>
      </c>
      <c r="G31" t="inlineStr">
        <is>
          <t>Field Support</t>
        </is>
      </c>
      <c r="H31" t="inlineStr">
        <is>
          <t>DC-NJ</t>
        </is>
      </c>
      <c r="I31" t="inlineStr">
        <is>
          <t>Newark</t>
        </is>
      </c>
      <c r="J31" s="12" t="n">
        <v>46090</v>
      </c>
      <c r="K31" s="12" t="n">
        <v>46455</v>
      </c>
      <c r="L31" t="inlineStr">
        <is>
          <t>Assigned</t>
        </is>
      </c>
      <c r="M31" t="inlineStr">
        <is>
          <t>Good</t>
        </is>
      </c>
      <c r="N31" s="12" t="n">
        <v>46184</v>
      </c>
      <c r="O31" t="inlineStr">
        <is>
          <t>Assigned</t>
        </is>
      </c>
      <c r="P31" t="inlineStr"/>
    </row>
    <row r="32">
      <c r="A32" t="inlineStr">
        <is>
          <t>MON-00030</t>
        </is>
      </c>
      <c r="B32" t="inlineStr">
        <is>
          <t>DEL07814159</t>
        </is>
      </c>
      <c r="C32" t="inlineStr">
        <is>
          <t>Monitor</t>
        </is>
      </c>
      <c r="D32" t="inlineStr">
        <is>
          <t>Dell</t>
        </is>
      </c>
      <c r="E32" t="inlineStr">
        <is>
          <t>UltraSharp U2723QE</t>
        </is>
      </c>
      <c r="F32" t="inlineStr">
        <is>
          <t>Dylan Miller</t>
        </is>
      </c>
      <c r="G32" t="inlineStr">
        <is>
          <t>Finance</t>
        </is>
      </c>
      <c r="H32" t="inlineStr">
        <is>
          <t>Store-Manhattan</t>
        </is>
      </c>
      <c r="I32" t="inlineStr">
        <is>
          <t>Manhattan</t>
        </is>
      </c>
      <c r="J32" s="12" t="n">
        <v>45768</v>
      </c>
      <c r="K32" s="12" t="n">
        <v>46133</v>
      </c>
      <c r="L32" t="inlineStr">
        <is>
          <t>In Repair</t>
        </is>
      </c>
      <c r="M32" t="inlineStr">
        <is>
          <t>Excellent</t>
        </is>
      </c>
      <c r="N32" s="12" t="n">
        <v>46117</v>
      </c>
      <c r="O32" t="inlineStr">
        <is>
          <t>In Repair</t>
        </is>
      </c>
      <c r="P32" t="inlineStr">
        <is>
          <t>Auto-generated record — status In Repair.</t>
        </is>
      </c>
    </row>
    <row r="33">
      <c r="A33" t="inlineStr">
        <is>
          <t>LAP-00031</t>
        </is>
      </c>
      <c r="B33" t="inlineStr">
        <is>
          <t>LEN39529940</t>
        </is>
      </c>
      <c r="C33" t="inlineStr">
        <is>
          <t>Laptop</t>
        </is>
      </c>
      <c r="D33" t="inlineStr">
        <is>
          <t>Lenovo</t>
        </is>
      </c>
      <c r="E33" t="inlineStr">
        <is>
          <t>ThinkPad T14</t>
        </is>
      </c>
      <c r="F33" t="inlineStr">
        <is>
          <t>Brian Ramirez</t>
        </is>
      </c>
      <c r="G33" t="inlineStr">
        <is>
          <t>Field Support</t>
        </is>
      </c>
      <c r="H33" t="inlineStr">
        <is>
          <t>Store-Queens</t>
        </is>
      </c>
      <c r="I33" t="inlineStr">
        <is>
          <t>Queens</t>
        </is>
      </c>
      <c r="J33" s="12" t="n">
        <v>45592</v>
      </c>
      <c r="K33" s="12" t="n">
        <v>46687</v>
      </c>
      <c r="L33" t="inlineStr">
        <is>
          <t>Assigned</t>
        </is>
      </c>
      <c r="M33" t="inlineStr">
        <is>
          <t>Fair</t>
        </is>
      </c>
      <c r="N33" s="12" t="n">
        <v>46123</v>
      </c>
      <c r="O33" t="inlineStr">
        <is>
          <t>Assigned</t>
        </is>
      </c>
      <c r="P33" t="inlineStr"/>
    </row>
    <row r="34">
      <c r="A34" t="inlineStr">
        <is>
          <t>MOB-00032</t>
        </is>
      </c>
      <c r="B34" t="inlineStr">
        <is>
          <t>APP74091519</t>
        </is>
      </c>
      <c r="C34" t="inlineStr">
        <is>
          <t>Mobile Phone</t>
        </is>
      </c>
      <c r="D34" t="inlineStr">
        <is>
          <t>Apple</t>
        </is>
      </c>
      <c r="E34" t="inlineStr">
        <is>
          <t>iPhone 15</t>
        </is>
      </c>
      <c r="F34" t="inlineStr">
        <is>
          <t>Holly Wood</t>
        </is>
      </c>
      <c r="G34" t="inlineStr">
        <is>
          <t>Store Operations</t>
        </is>
      </c>
      <c r="H34" t="inlineStr">
        <is>
          <t>Store-Manhattan</t>
        </is>
      </c>
      <c r="I34" t="inlineStr">
        <is>
          <t>Manhattan</t>
        </is>
      </c>
      <c r="J34" s="12" t="n">
        <v>45015</v>
      </c>
      <c r="K34" s="12" t="n">
        <v>46110</v>
      </c>
      <c r="L34" t="inlineStr">
        <is>
          <t>Assigned</t>
        </is>
      </c>
      <c r="M34" t="inlineStr">
        <is>
          <t>Poor</t>
        </is>
      </c>
      <c r="N34" s="12" t="n">
        <v>46183</v>
      </c>
      <c r="O34" t="inlineStr">
        <is>
          <t>Assigned</t>
        </is>
      </c>
      <c r="P34" t="inlineStr"/>
    </row>
    <row r="35">
      <c r="A35" t="inlineStr">
        <is>
          <t>MON-00033</t>
        </is>
      </c>
      <c r="B35" t="inlineStr">
        <is>
          <t>DEL61282742</t>
        </is>
      </c>
      <c r="C35" t="inlineStr">
        <is>
          <t>Monitor</t>
        </is>
      </c>
      <c r="D35" t="inlineStr">
        <is>
          <t>Dell</t>
        </is>
      </c>
      <c r="E35" t="inlineStr">
        <is>
          <t>UltraSharp U2723QE</t>
        </is>
      </c>
      <c r="F35" t="inlineStr">
        <is>
          <t>Derek Zuniga</t>
        </is>
      </c>
      <c r="G35" t="inlineStr">
        <is>
          <t>Finance</t>
        </is>
      </c>
      <c r="H35" t="inlineStr">
        <is>
          <t>Store-Newark</t>
        </is>
      </c>
      <c r="I35" t="inlineStr">
        <is>
          <t>Newark</t>
        </is>
      </c>
      <c r="J35" s="12" t="n">
        <v>45304</v>
      </c>
      <c r="K35" s="12" t="n">
        <v>45669</v>
      </c>
      <c r="L35" t="inlineStr">
        <is>
          <t>In Repair</t>
        </is>
      </c>
      <c r="M35" t="inlineStr">
        <is>
          <t>Damaged</t>
        </is>
      </c>
      <c r="N35" s="12" t="n">
        <v>46197</v>
      </c>
      <c r="O35" t="inlineStr">
        <is>
          <t>In Repair</t>
        </is>
      </c>
      <c r="P35" t="inlineStr">
        <is>
          <t>Auto-generated record — status In Repair.</t>
        </is>
      </c>
    </row>
    <row r="36">
      <c r="A36" t="inlineStr">
        <is>
          <t>DSK-00034</t>
        </is>
      </c>
      <c r="B36" t="inlineStr">
        <is>
          <t>HP24139416</t>
        </is>
      </c>
      <c r="C36" t="inlineStr">
        <is>
          <t>Desktop</t>
        </is>
      </c>
      <c r="D36" t="inlineStr">
        <is>
          <t>HP</t>
        </is>
      </c>
      <c r="E36" t="inlineStr">
        <is>
          <t>ProDesk 400 G9</t>
        </is>
      </c>
      <c r="F36" t="inlineStr"/>
      <c r="G36" t="inlineStr">
        <is>
          <t>Customer Service</t>
        </is>
      </c>
      <c r="H36" t="inlineStr">
        <is>
          <t>Store-Manhattan</t>
        </is>
      </c>
      <c r="I36" t="inlineStr">
        <is>
          <t>Manhattan</t>
        </is>
      </c>
      <c r="J36" s="12" t="n">
        <v>45063</v>
      </c>
      <c r="K36" s="12" t="n">
        <v>46158</v>
      </c>
      <c r="L36" t="inlineStr">
        <is>
          <t>Retired</t>
        </is>
      </c>
      <c r="M36" t="inlineStr">
        <is>
          <t>Poor</t>
        </is>
      </c>
      <c r="N36" s="12" t="n">
        <v>46130</v>
      </c>
      <c r="O36" t="inlineStr">
        <is>
          <t>Retired</t>
        </is>
      </c>
      <c r="P36" t="inlineStr">
        <is>
          <t>Auto-generated record — status Retired.</t>
        </is>
      </c>
    </row>
    <row r="37">
      <c r="A37" t="inlineStr">
        <is>
          <t>NET-00035</t>
        </is>
      </c>
      <c r="B37" t="inlineStr">
        <is>
          <t>UBI97889180</t>
        </is>
      </c>
      <c r="C37" t="inlineStr">
        <is>
          <t>Network Device</t>
        </is>
      </c>
      <c r="D37" t="inlineStr">
        <is>
          <t>Ubiquiti</t>
        </is>
      </c>
      <c r="E37" t="inlineStr">
        <is>
          <t>UniFi AP U6 Pro</t>
        </is>
      </c>
      <c r="F37" t="inlineStr">
        <is>
          <t>Lisa Jackson</t>
        </is>
      </c>
      <c r="G37" t="inlineStr">
        <is>
          <t>Warehouse</t>
        </is>
      </c>
      <c r="H37" t="inlineStr">
        <is>
          <t>Store-Stamford</t>
        </is>
      </c>
      <c r="I37" t="inlineStr">
        <is>
          <t>Stamford</t>
        </is>
      </c>
      <c r="J37" s="12" t="n">
        <v>45327</v>
      </c>
      <c r="K37" s="12" t="n">
        <v>45692</v>
      </c>
      <c r="L37" t="inlineStr">
        <is>
          <t>Assigned</t>
        </is>
      </c>
      <c r="M37" t="inlineStr">
        <is>
          <t>Good</t>
        </is>
      </c>
      <c r="N37" s="12" t="n">
        <v>46172</v>
      </c>
      <c r="O37" t="inlineStr">
        <is>
          <t>Assigned</t>
        </is>
      </c>
      <c r="P37" t="inlineStr"/>
    </row>
    <row r="38">
      <c r="A38" t="inlineStr">
        <is>
          <t>PRT-00036</t>
        </is>
      </c>
      <c r="B38" t="inlineStr">
        <is>
          <t>CAN91995112</t>
        </is>
      </c>
      <c r="C38" t="inlineStr">
        <is>
          <t>Printer</t>
        </is>
      </c>
      <c r="D38" t="inlineStr">
        <is>
          <t>Canon</t>
        </is>
      </c>
      <c r="E38" t="inlineStr">
        <is>
          <t>imageCLASS MF455dw</t>
        </is>
      </c>
      <c r="F38" t="inlineStr"/>
      <c r="G38" t="inlineStr">
        <is>
          <t>Warehouse</t>
        </is>
      </c>
      <c r="H38" t="inlineStr">
        <is>
          <t>Store-WhitePlains</t>
        </is>
      </c>
      <c r="I38" t="inlineStr">
        <is>
          <t>Westchester</t>
        </is>
      </c>
      <c r="J38" s="12" t="n">
        <v>45861</v>
      </c>
      <c r="K38" s="12" t="n">
        <v>46226</v>
      </c>
      <c r="L38" t="inlineStr">
        <is>
          <t>Returned</t>
        </is>
      </c>
      <c r="M38" t="inlineStr">
        <is>
          <t>Good</t>
        </is>
      </c>
      <c r="N38" s="12" t="n">
        <v>46164</v>
      </c>
      <c r="O38" t="inlineStr">
        <is>
          <t>Returned</t>
        </is>
      </c>
      <c r="P38" t="inlineStr">
        <is>
          <t>Auto-generated record — status Returned.</t>
        </is>
      </c>
    </row>
    <row r="39">
      <c r="A39" t="inlineStr">
        <is>
          <t>MOB-00037</t>
        </is>
      </c>
      <c r="B39" t="inlineStr">
        <is>
          <t>APP11804556</t>
        </is>
      </c>
      <c r="C39" t="inlineStr">
        <is>
          <t>Mobile Phone</t>
        </is>
      </c>
      <c r="D39" t="inlineStr">
        <is>
          <t>Apple</t>
        </is>
      </c>
      <c r="E39" t="inlineStr">
        <is>
          <t>iPhone 15</t>
        </is>
      </c>
      <c r="F39" t="inlineStr">
        <is>
          <t>Carla Gray</t>
        </is>
      </c>
      <c r="G39" t="inlineStr">
        <is>
          <t>Finance</t>
        </is>
      </c>
      <c r="H39" t="inlineStr">
        <is>
          <t>DC-NJ</t>
        </is>
      </c>
      <c r="I39" t="inlineStr">
        <is>
          <t>Newark</t>
        </is>
      </c>
      <c r="J39" s="12" t="n">
        <v>45914</v>
      </c>
      <c r="K39" s="12" t="n">
        <v>47009</v>
      </c>
      <c r="L39" t="inlineStr">
        <is>
          <t>Assigned</t>
        </is>
      </c>
      <c r="M39" t="inlineStr">
        <is>
          <t>Poor</t>
        </is>
      </c>
      <c r="N39" s="12" t="n">
        <v>46193</v>
      </c>
      <c r="O39" t="inlineStr">
        <is>
          <t>Assigned</t>
        </is>
      </c>
      <c r="P39" t="inlineStr"/>
    </row>
    <row r="40">
      <c r="A40" t="inlineStr">
        <is>
          <t>MON-00038</t>
        </is>
      </c>
      <c r="B40" t="inlineStr">
        <is>
          <t>LG78504182</t>
        </is>
      </c>
      <c r="C40" t="inlineStr">
        <is>
          <t>Monitor</t>
        </is>
      </c>
      <c r="D40" t="inlineStr">
        <is>
          <t>LG</t>
        </is>
      </c>
      <c r="E40" t="inlineStr">
        <is>
          <t>27BN85U-N</t>
        </is>
      </c>
      <c r="F40" t="inlineStr"/>
      <c r="G40" t="inlineStr">
        <is>
          <t>Customer Service</t>
        </is>
      </c>
      <c r="H40" t="inlineStr">
        <is>
          <t>Store-Queens</t>
        </is>
      </c>
      <c r="I40" t="inlineStr">
        <is>
          <t>Queens</t>
        </is>
      </c>
      <c r="J40" s="12" t="n">
        <v>45563</v>
      </c>
      <c r="K40" s="12" t="n">
        <v>45928</v>
      </c>
      <c r="L40" t="inlineStr">
        <is>
          <t>In Stock</t>
        </is>
      </c>
      <c r="M40" t="inlineStr">
        <is>
          <t>Poor</t>
        </is>
      </c>
      <c r="N40" s="12" t="n">
        <v>46099</v>
      </c>
      <c r="O40" t="inlineStr">
        <is>
          <t>In Stock</t>
        </is>
      </c>
      <c r="P40" t="inlineStr">
        <is>
          <t>Auto-generated record — status In Stock.</t>
        </is>
      </c>
    </row>
    <row r="41">
      <c r="A41" t="inlineStr">
        <is>
          <t>DSK-00039</t>
        </is>
      </c>
      <c r="B41" t="inlineStr">
        <is>
          <t>DEL03958108</t>
        </is>
      </c>
      <c r="C41" t="inlineStr">
        <is>
          <t>Desktop</t>
        </is>
      </c>
      <c r="D41" t="inlineStr">
        <is>
          <t>Dell</t>
        </is>
      </c>
      <c r="E41" t="inlineStr">
        <is>
          <t>OptiPlex 7010</t>
        </is>
      </c>
      <c r="F41" t="inlineStr">
        <is>
          <t>Margaret Hawkins DDS</t>
        </is>
      </c>
      <c r="G41" t="inlineStr">
        <is>
          <t>Procurement</t>
        </is>
      </c>
      <c r="H41" t="inlineStr">
        <is>
          <t>DC-PA</t>
        </is>
      </c>
      <c r="I41" t="inlineStr">
        <is>
          <t>Allentown</t>
        </is>
      </c>
      <c r="J41" s="12" t="n">
        <v>45123</v>
      </c>
      <c r="K41" s="12" t="n">
        <v>46218</v>
      </c>
      <c r="L41" t="inlineStr">
        <is>
          <t>Assigned</t>
        </is>
      </c>
      <c r="M41" t="inlineStr">
        <is>
          <t>Good</t>
        </is>
      </c>
      <c r="N41" s="12" t="n">
        <v>46194</v>
      </c>
      <c r="O41" t="inlineStr">
        <is>
          <t>Assigned</t>
        </is>
      </c>
      <c r="P41" t="inlineStr"/>
    </row>
    <row r="42">
      <c r="A42" t="inlineStr">
        <is>
          <t>LAP-00040</t>
        </is>
      </c>
      <c r="B42" t="inlineStr">
        <is>
          <t>LEN89293857</t>
        </is>
      </c>
      <c r="C42" t="inlineStr">
        <is>
          <t>Laptop</t>
        </is>
      </c>
      <c r="D42" t="inlineStr">
        <is>
          <t>Lenovo</t>
        </is>
      </c>
      <c r="E42" t="inlineStr">
        <is>
          <t>ThinkPad T14</t>
        </is>
      </c>
      <c r="F42" t="inlineStr">
        <is>
          <t>Patty Perez</t>
        </is>
      </c>
      <c r="G42" t="inlineStr">
        <is>
          <t>Finance</t>
        </is>
      </c>
      <c r="H42" t="inlineStr">
        <is>
          <t>DC-NY</t>
        </is>
      </c>
      <c r="I42" t="inlineStr">
        <is>
          <t>Queens</t>
        </is>
      </c>
      <c r="J42" s="12" t="n">
        <v>44510</v>
      </c>
      <c r="K42" s="12" t="n">
        <v>45605</v>
      </c>
      <c r="L42" t="inlineStr">
        <is>
          <t>Assigned</t>
        </is>
      </c>
      <c r="M42" t="inlineStr">
        <is>
          <t>Damaged</t>
        </is>
      </c>
      <c r="N42" s="12" t="n">
        <v>46102</v>
      </c>
      <c r="O42" t="inlineStr">
        <is>
          <t>Assigned</t>
        </is>
      </c>
      <c r="P42" t="inlineStr"/>
    </row>
    <row r="43">
      <c r="A43" t="inlineStr">
        <is>
          <t>MOB-00041</t>
        </is>
      </c>
      <c r="B43" t="inlineStr">
        <is>
          <t>APP35988473</t>
        </is>
      </c>
      <c r="C43" t="inlineStr">
        <is>
          <t>Mobile Phone</t>
        </is>
      </c>
      <c r="D43" t="inlineStr">
        <is>
          <t>Apple</t>
        </is>
      </c>
      <c r="E43" t="inlineStr">
        <is>
          <t>iPhone 15</t>
        </is>
      </c>
      <c r="F43" t="inlineStr">
        <is>
          <t>Ethan Adams</t>
        </is>
      </c>
      <c r="G43" t="inlineStr">
        <is>
          <t>HR</t>
        </is>
      </c>
      <c r="H43" t="inlineStr">
        <is>
          <t>Store-WhitePlains</t>
        </is>
      </c>
      <c r="I43" t="inlineStr">
        <is>
          <t>Westchester</t>
        </is>
      </c>
      <c r="J43" s="12" t="n">
        <v>44763</v>
      </c>
      <c r="K43" s="12" t="n">
        <v>45858</v>
      </c>
      <c r="L43" t="inlineStr">
        <is>
          <t>Assigned</t>
        </is>
      </c>
      <c r="M43" t="inlineStr">
        <is>
          <t>Damaged</t>
        </is>
      </c>
      <c r="N43" s="12" t="n">
        <v>46138</v>
      </c>
      <c r="O43" t="inlineStr">
        <is>
          <t>Assigned</t>
        </is>
      </c>
      <c r="P43" t="inlineStr"/>
    </row>
    <row r="44">
      <c r="A44" t="inlineStr">
        <is>
          <t>MOB-00042</t>
        </is>
      </c>
      <c r="B44" t="inlineStr">
        <is>
          <t>SAM14623353</t>
        </is>
      </c>
      <c r="C44" t="inlineStr">
        <is>
          <t>Mobile Phone</t>
        </is>
      </c>
      <c r="D44" t="inlineStr">
        <is>
          <t>Samsung</t>
        </is>
      </c>
      <c r="E44" t="inlineStr">
        <is>
          <t>Galaxy S24</t>
        </is>
      </c>
      <c r="F44" t="inlineStr">
        <is>
          <t>Tommy Walter</t>
        </is>
      </c>
      <c r="G44" t="inlineStr">
        <is>
          <t>Store Operations</t>
        </is>
      </c>
      <c r="H44" t="inlineStr">
        <is>
          <t>Store-WhitePlains</t>
        </is>
      </c>
      <c r="I44" t="inlineStr">
        <is>
          <t>Westchester</t>
        </is>
      </c>
      <c r="J44" s="12" t="n">
        <v>45652</v>
      </c>
      <c r="K44" s="12" t="n">
        <v>46747</v>
      </c>
      <c r="L44" t="inlineStr">
        <is>
          <t>Assigned</t>
        </is>
      </c>
      <c r="M44" t="inlineStr">
        <is>
          <t>Fair</t>
        </is>
      </c>
      <c r="N44" s="12" t="n">
        <v>46145</v>
      </c>
      <c r="O44" t="inlineStr">
        <is>
          <t>Assigned</t>
        </is>
      </c>
      <c r="P44" t="inlineStr"/>
    </row>
    <row r="45">
      <c r="A45" t="inlineStr">
        <is>
          <t>MON-00043</t>
        </is>
      </c>
      <c r="B45" t="inlineStr">
        <is>
          <t>DEL79698473</t>
        </is>
      </c>
      <c r="C45" t="inlineStr">
        <is>
          <t>Monitor</t>
        </is>
      </c>
      <c r="D45" t="inlineStr">
        <is>
          <t>Dell</t>
        </is>
      </c>
      <c r="E45" t="inlineStr">
        <is>
          <t>UltraSharp U2723QE</t>
        </is>
      </c>
      <c r="F45" t="inlineStr"/>
      <c r="G45" t="inlineStr">
        <is>
          <t>Finance</t>
        </is>
      </c>
      <c r="H45" t="inlineStr">
        <is>
          <t>Store-Bronx</t>
        </is>
      </c>
      <c r="I45" t="inlineStr">
        <is>
          <t>Bronx</t>
        </is>
      </c>
      <c r="J45" s="12" t="n">
        <v>45456</v>
      </c>
      <c r="K45" s="12" t="n">
        <v>45821</v>
      </c>
      <c r="L45" t="inlineStr">
        <is>
          <t>In Stock</t>
        </is>
      </c>
      <c r="M45" t="inlineStr">
        <is>
          <t>Good</t>
        </is>
      </c>
      <c r="N45" s="12" t="n">
        <v>46165</v>
      </c>
      <c r="O45" t="inlineStr">
        <is>
          <t>In Stock</t>
        </is>
      </c>
      <c r="P45" t="inlineStr">
        <is>
          <t>Auto-generated record — status In Stock.</t>
        </is>
      </c>
    </row>
    <row r="46">
      <c r="A46" t="inlineStr">
        <is>
          <t>PRT-00044</t>
        </is>
      </c>
      <c r="B46" t="inlineStr">
        <is>
          <t>CAN55760217</t>
        </is>
      </c>
      <c r="C46" t="inlineStr">
        <is>
          <t>Printer</t>
        </is>
      </c>
      <c r="D46" t="inlineStr">
        <is>
          <t>Canon</t>
        </is>
      </c>
      <c r="E46" t="inlineStr">
        <is>
          <t>imageCLASS MF455dw</t>
        </is>
      </c>
      <c r="F46" t="inlineStr"/>
      <c r="G46" t="inlineStr">
        <is>
          <t>Field Support</t>
        </is>
      </c>
      <c r="H46" t="inlineStr">
        <is>
          <t>Store-Manhattan</t>
        </is>
      </c>
      <c r="I46" t="inlineStr">
        <is>
          <t>Manhattan</t>
        </is>
      </c>
      <c r="J46" s="12" t="n">
        <v>44642</v>
      </c>
      <c r="K46" s="12" t="n">
        <v>45007</v>
      </c>
      <c r="L46" t="inlineStr">
        <is>
          <t>In Stock</t>
        </is>
      </c>
      <c r="M46" t="inlineStr">
        <is>
          <t>Good</t>
        </is>
      </c>
      <c r="N46" s="12" t="n">
        <v>46107</v>
      </c>
      <c r="O46" t="inlineStr">
        <is>
          <t>In Stock</t>
        </is>
      </c>
      <c r="P46" t="inlineStr">
        <is>
          <t>Auto-generated record — status In Stock.</t>
        </is>
      </c>
    </row>
    <row r="47">
      <c r="A47" t="inlineStr">
        <is>
          <t>LAP-00045</t>
        </is>
      </c>
      <c r="B47" t="inlineStr">
        <is>
          <t>DEL96606750</t>
        </is>
      </c>
      <c r="C47" t="inlineStr">
        <is>
          <t>Laptop</t>
        </is>
      </c>
      <c r="D47" t="inlineStr">
        <is>
          <t>Dell</t>
        </is>
      </c>
      <c r="E47" t="inlineStr">
        <is>
          <t>Latitude 5540</t>
        </is>
      </c>
      <c r="F47" t="inlineStr"/>
      <c r="G47" t="inlineStr">
        <is>
          <t>HR</t>
        </is>
      </c>
      <c r="H47" t="inlineStr">
        <is>
          <t>DC-PA</t>
        </is>
      </c>
      <c r="I47" t="inlineStr">
        <is>
          <t>Allentown</t>
        </is>
      </c>
      <c r="J47" s="12" t="n">
        <v>44909</v>
      </c>
      <c r="K47" s="12" t="n">
        <v>46004</v>
      </c>
      <c r="L47" t="inlineStr">
        <is>
          <t>Returned</t>
        </is>
      </c>
      <c r="M47" t="inlineStr">
        <is>
          <t>Damaged</t>
        </is>
      </c>
      <c r="N47" s="12" t="n">
        <v>46184</v>
      </c>
      <c r="O47" t="inlineStr">
        <is>
          <t>Returned</t>
        </is>
      </c>
      <c r="P47" t="inlineStr">
        <is>
          <t>Auto-generated record — status Returned.</t>
        </is>
      </c>
    </row>
    <row r="48">
      <c r="A48" t="inlineStr">
        <is>
          <t>SCN-00046</t>
        </is>
      </c>
      <c r="B48" t="inlineStr">
        <is>
          <t>FUJ45479799</t>
        </is>
      </c>
      <c r="C48" t="inlineStr">
        <is>
          <t>Scanner</t>
        </is>
      </c>
      <c r="D48" t="inlineStr">
        <is>
          <t>Fujitsu</t>
        </is>
      </c>
      <c r="E48" t="inlineStr">
        <is>
          <t>fi-7160</t>
        </is>
      </c>
      <c r="F48" t="inlineStr"/>
      <c r="G48" t="inlineStr">
        <is>
          <t>Procurement</t>
        </is>
      </c>
      <c r="H48" t="inlineStr">
        <is>
          <t>HQ-Queens</t>
        </is>
      </c>
      <c r="I48" t="inlineStr">
        <is>
          <t>Queens</t>
        </is>
      </c>
      <c r="J48" s="12" t="n">
        <v>45876</v>
      </c>
      <c r="K48" s="12" t="n">
        <v>46241</v>
      </c>
      <c r="L48" t="inlineStr">
        <is>
          <t>Disposed</t>
        </is>
      </c>
      <c r="M48" t="inlineStr">
        <is>
          <t>Excellent</t>
        </is>
      </c>
      <c r="N48" s="12" t="n">
        <v>46107</v>
      </c>
      <c r="O48" t="inlineStr">
        <is>
          <t>Disposed</t>
        </is>
      </c>
      <c r="P48" t="inlineStr">
        <is>
          <t>Auto-generated record — status Disposed.</t>
        </is>
      </c>
    </row>
    <row r="49">
      <c r="A49" t="inlineStr">
        <is>
          <t>LAP-00047</t>
        </is>
      </c>
      <c r="B49" t="inlineStr">
        <is>
          <t>LEN11150544</t>
        </is>
      </c>
      <c r="C49" t="inlineStr">
        <is>
          <t>Laptop</t>
        </is>
      </c>
      <c r="D49" t="inlineStr">
        <is>
          <t>Lenovo</t>
        </is>
      </c>
      <c r="E49" t="inlineStr">
        <is>
          <t>ThinkPad T14</t>
        </is>
      </c>
      <c r="F49" t="inlineStr">
        <is>
          <t>Matthew Foster</t>
        </is>
      </c>
      <c r="G49" t="inlineStr">
        <is>
          <t>Procurement</t>
        </is>
      </c>
      <c r="H49" t="inlineStr">
        <is>
          <t>Store-Bronx</t>
        </is>
      </c>
      <c r="I49" t="inlineStr">
        <is>
          <t>Bronx</t>
        </is>
      </c>
      <c r="J49" s="12" t="n">
        <v>45091</v>
      </c>
      <c r="K49" s="12" t="n">
        <v>46186</v>
      </c>
      <c r="L49" t="inlineStr">
        <is>
          <t>Assigned</t>
        </is>
      </c>
      <c r="M49" t="inlineStr">
        <is>
          <t>Fair</t>
        </is>
      </c>
      <c r="N49" s="12" t="n">
        <v>46129</v>
      </c>
      <c r="O49" t="inlineStr">
        <is>
          <t>Assigned</t>
        </is>
      </c>
      <c r="P49" t="inlineStr"/>
    </row>
    <row r="50">
      <c r="A50" t="inlineStr">
        <is>
          <t>MOB-00048</t>
        </is>
      </c>
      <c r="B50" t="inlineStr">
        <is>
          <t>SAM25198171</t>
        </is>
      </c>
      <c r="C50" t="inlineStr">
        <is>
          <t>Mobile Phone</t>
        </is>
      </c>
      <c r="D50" t="inlineStr">
        <is>
          <t>Samsung</t>
        </is>
      </c>
      <c r="E50" t="inlineStr">
        <is>
          <t>Galaxy S24</t>
        </is>
      </c>
      <c r="F50" t="inlineStr">
        <is>
          <t>Judy Baker</t>
        </is>
      </c>
      <c r="G50" t="inlineStr">
        <is>
          <t>Procurement</t>
        </is>
      </c>
      <c r="H50" t="inlineStr">
        <is>
          <t>Store-Manhattan</t>
        </is>
      </c>
      <c r="I50" t="inlineStr">
        <is>
          <t>Manhattan</t>
        </is>
      </c>
      <c r="J50" s="12" t="n">
        <v>44789</v>
      </c>
      <c r="K50" s="12" t="n">
        <v>45884</v>
      </c>
      <c r="L50" t="inlineStr">
        <is>
          <t>In Repair</t>
        </is>
      </c>
      <c r="M50" t="inlineStr">
        <is>
          <t>Fair</t>
        </is>
      </c>
      <c r="N50" s="12" t="n">
        <v>46143</v>
      </c>
      <c r="O50" t="inlineStr">
        <is>
          <t>In Repair</t>
        </is>
      </c>
      <c r="P50" t="inlineStr">
        <is>
          <t>Auto-generated record — status In Repair.</t>
        </is>
      </c>
    </row>
    <row r="51">
      <c r="A51" t="inlineStr">
        <is>
          <t>MON-00049</t>
        </is>
      </c>
      <c r="B51" t="inlineStr">
        <is>
          <t>DEL26737887</t>
        </is>
      </c>
      <c r="C51" t="inlineStr">
        <is>
          <t>Monitor</t>
        </is>
      </c>
      <c r="D51" t="inlineStr">
        <is>
          <t>Dell</t>
        </is>
      </c>
      <c r="E51" t="inlineStr">
        <is>
          <t>UltraSharp U2723QE</t>
        </is>
      </c>
      <c r="F51" t="inlineStr">
        <is>
          <t>Justin Baker</t>
        </is>
      </c>
      <c r="G51" t="inlineStr">
        <is>
          <t>Finance</t>
        </is>
      </c>
      <c r="H51" t="inlineStr">
        <is>
          <t>DC-NJ</t>
        </is>
      </c>
      <c r="I51" t="inlineStr">
        <is>
          <t>Newark</t>
        </is>
      </c>
      <c r="J51" s="12" t="n">
        <v>44973</v>
      </c>
      <c r="K51" s="12" t="n">
        <v>45338</v>
      </c>
      <c r="L51" t="inlineStr">
        <is>
          <t>Assigned</t>
        </is>
      </c>
      <c r="M51" t="inlineStr">
        <is>
          <t>Damaged</t>
        </is>
      </c>
      <c r="N51" s="12" t="n">
        <v>46110</v>
      </c>
      <c r="O51" t="inlineStr">
        <is>
          <t>Assigned</t>
        </is>
      </c>
      <c r="P51" t="inlineStr"/>
    </row>
    <row r="52">
      <c r="A52" t="inlineStr">
        <is>
          <t>MOB-00050</t>
        </is>
      </c>
      <c r="B52" t="inlineStr">
        <is>
          <t>APP91095473</t>
        </is>
      </c>
      <c r="C52" t="inlineStr">
        <is>
          <t>Mobile Phone</t>
        </is>
      </c>
      <c r="D52" t="inlineStr">
        <is>
          <t>Apple</t>
        </is>
      </c>
      <c r="E52" t="inlineStr">
        <is>
          <t>iPhone 15</t>
        </is>
      </c>
      <c r="F52" t="inlineStr">
        <is>
          <t>Stephanie Ross</t>
        </is>
      </c>
      <c r="G52" t="inlineStr">
        <is>
          <t>Customer Service</t>
        </is>
      </c>
      <c r="H52" t="inlineStr">
        <is>
          <t>Store-Bronx</t>
        </is>
      </c>
      <c r="I52" t="inlineStr">
        <is>
          <t>Bronx</t>
        </is>
      </c>
      <c r="J52" s="12" t="n">
        <v>45483</v>
      </c>
      <c r="K52" s="12" t="n">
        <v>46578</v>
      </c>
      <c r="L52" t="inlineStr">
        <is>
          <t>Assigned</t>
        </is>
      </c>
      <c r="M52" t="inlineStr">
        <is>
          <t>Good</t>
        </is>
      </c>
      <c r="N52" s="12" t="n">
        <v>46181</v>
      </c>
      <c r="O52" t="inlineStr">
        <is>
          <t>Assigned</t>
        </is>
      </c>
      <c r="P52" t="inlineStr"/>
    </row>
    <row r="53">
      <c r="A53" t="inlineStr">
        <is>
          <t>LAP-00051</t>
        </is>
      </c>
      <c r="B53" t="inlineStr">
        <is>
          <t>LEN64136907</t>
        </is>
      </c>
      <c r="C53" t="inlineStr">
        <is>
          <t>Laptop</t>
        </is>
      </c>
      <c r="D53" t="inlineStr">
        <is>
          <t>Lenovo</t>
        </is>
      </c>
      <c r="E53" t="inlineStr">
        <is>
          <t>ThinkPad T14</t>
        </is>
      </c>
      <c r="F53" t="inlineStr">
        <is>
          <t>Zachary Hicks</t>
        </is>
      </c>
      <c r="G53" t="inlineStr">
        <is>
          <t>Store Operations</t>
        </is>
      </c>
      <c r="H53" t="inlineStr">
        <is>
          <t>Store-Yonkers</t>
        </is>
      </c>
      <c r="I53" t="inlineStr">
        <is>
          <t>Westchester</t>
        </is>
      </c>
      <c r="J53" s="12" t="n">
        <v>45155</v>
      </c>
      <c r="K53" s="12" t="n">
        <v>46250</v>
      </c>
      <c r="L53" t="inlineStr">
        <is>
          <t>Missing</t>
        </is>
      </c>
      <c r="M53" t="inlineStr">
        <is>
          <t>Good</t>
        </is>
      </c>
      <c r="N53" s="12" t="n">
        <v>46110</v>
      </c>
      <c r="O53" t="inlineStr">
        <is>
          <t>Assigned</t>
        </is>
      </c>
      <c r="P53" t="inlineStr">
        <is>
          <t>Auto-generated record — status Missing.</t>
        </is>
      </c>
    </row>
    <row r="54">
      <c r="A54" t="inlineStr">
        <is>
          <t>MON-00052</t>
        </is>
      </c>
      <c r="B54" t="inlineStr">
        <is>
          <t>LG11450650</t>
        </is>
      </c>
      <c r="C54" t="inlineStr">
        <is>
          <t>Monitor</t>
        </is>
      </c>
      <c r="D54" t="inlineStr">
        <is>
          <t>LG</t>
        </is>
      </c>
      <c r="E54" t="inlineStr">
        <is>
          <t>27BN85U-N</t>
        </is>
      </c>
      <c r="F54" t="inlineStr"/>
      <c r="G54" t="inlineStr">
        <is>
          <t>Finance</t>
        </is>
      </c>
      <c r="H54" t="inlineStr">
        <is>
          <t>HQ-Queens</t>
        </is>
      </c>
      <c r="I54" t="inlineStr">
        <is>
          <t>Queens</t>
        </is>
      </c>
      <c r="J54" s="12" t="n">
        <v>45909</v>
      </c>
      <c r="K54" s="12" t="n">
        <v>46274</v>
      </c>
      <c r="L54" t="inlineStr">
        <is>
          <t>Returned</t>
        </is>
      </c>
      <c r="M54" t="inlineStr">
        <is>
          <t>Damaged</t>
        </is>
      </c>
      <c r="N54" s="12" t="n">
        <v>46126</v>
      </c>
      <c r="O54" t="inlineStr">
        <is>
          <t>Returned</t>
        </is>
      </c>
      <c r="P54" t="inlineStr">
        <is>
          <t>Auto-generated record — status Returned.</t>
        </is>
      </c>
    </row>
    <row r="55">
      <c r="A55" t="inlineStr">
        <is>
          <t>LAP-00053</t>
        </is>
      </c>
      <c r="B55" t="inlineStr">
        <is>
          <t>LEN34035977</t>
        </is>
      </c>
      <c r="C55" t="inlineStr">
        <is>
          <t>Laptop</t>
        </is>
      </c>
      <c r="D55" t="inlineStr">
        <is>
          <t>Lenovo</t>
        </is>
      </c>
      <c r="E55" t="inlineStr">
        <is>
          <t>ThinkPad T14</t>
        </is>
      </c>
      <c r="F55" t="inlineStr">
        <is>
          <t>Anthony Rodriguez</t>
        </is>
      </c>
      <c r="G55" t="inlineStr">
        <is>
          <t>Procurement</t>
        </is>
      </c>
      <c r="H55" t="inlineStr">
        <is>
          <t>Store-Brooklyn</t>
        </is>
      </c>
      <c r="I55" t="inlineStr">
        <is>
          <t>Brooklyn</t>
        </is>
      </c>
      <c r="J55" s="12" t="n">
        <v>44682</v>
      </c>
      <c r="K55" s="12" t="n">
        <v>45777</v>
      </c>
      <c r="L55" t="inlineStr">
        <is>
          <t>Assigned</t>
        </is>
      </c>
      <c r="M55" t="inlineStr">
        <is>
          <t>Damaged</t>
        </is>
      </c>
      <c r="N55" s="12" t="n">
        <v>46147</v>
      </c>
      <c r="O55" t="inlineStr">
        <is>
          <t>Assigned</t>
        </is>
      </c>
      <c r="P55" t="inlineStr"/>
    </row>
    <row r="56">
      <c r="A56" t="inlineStr">
        <is>
          <t>SCN-00054</t>
        </is>
      </c>
      <c r="B56" t="inlineStr">
        <is>
          <t>FUJ78016906</t>
        </is>
      </c>
      <c r="C56" t="inlineStr">
        <is>
          <t>Scanner</t>
        </is>
      </c>
      <c r="D56" t="inlineStr">
        <is>
          <t>Fujitsu</t>
        </is>
      </c>
      <c r="E56" t="inlineStr">
        <is>
          <t>fi-7160</t>
        </is>
      </c>
      <c r="F56" t="inlineStr"/>
      <c r="G56" t="inlineStr">
        <is>
          <t>Finance</t>
        </is>
      </c>
      <c r="H56" t="inlineStr">
        <is>
          <t>DC-NJ</t>
        </is>
      </c>
      <c r="I56" t="inlineStr">
        <is>
          <t>Newark</t>
        </is>
      </c>
      <c r="J56" s="12" t="n">
        <v>44385</v>
      </c>
      <c r="K56" s="12" t="n">
        <v>44750</v>
      </c>
      <c r="L56" t="inlineStr">
        <is>
          <t>Retired</t>
        </is>
      </c>
      <c r="M56" t="inlineStr">
        <is>
          <t>Poor</t>
        </is>
      </c>
      <c r="N56" s="12" t="n">
        <v>46167</v>
      </c>
      <c r="O56" t="inlineStr">
        <is>
          <t>Retired</t>
        </is>
      </c>
      <c r="P56" t="inlineStr">
        <is>
          <t>Auto-generated record — status Retired.</t>
        </is>
      </c>
    </row>
    <row r="57">
      <c r="A57" t="inlineStr">
        <is>
          <t>LAP-00055</t>
        </is>
      </c>
      <c r="B57" t="inlineStr">
        <is>
          <t>LEN22418781</t>
        </is>
      </c>
      <c r="C57" t="inlineStr">
        <is>
          <t>Laptop</t>
        </is>
      </c>
      <c r="D57" t="inlineStr">
        <is>
          <t>Lenovo</t>
        </is>
      </c>
      <c r="E57" t="inlineStr">
        <is>
          <t>ThinkPad T14</t>
        </is>
      </c>
      <c r="F57" t="inlineStr"/>
      <c r="G57" t="inlineStr">
        <is>
          <t>HR</t>
        </is>
      </c>
      <c r="H57" t="inlineStr">
        <is>
          <t>Store-WhitePlains</t>
        </is>
      </c>
      <c r="I57" t="inlineStr">
        <is>
          <t>Westchester</t>
        </is>
      </c>
      <c r="J57" s="12" t="n">
        <v>45958</v>
      </c>
      <c r="K57" s="12" t="n">
        <v>47053</v>
      </c>
      <c r="L57" t="inlineStr">
        <is>
          <t>Retired</t>
        </is>
      </c>
      <c r="M57" t="inlineStr">
        <is>
          <t>Damaged</t>
        </is>
      </c>
      <c r="N57" s="12" t="n">
        <v>46196</v>
      </c>
      <c r="O57" t="inlineStr">
        <is>
          <t>Retired</t>
        </is>
      </c>
      <c r="P57" t="inlineStr">
        <is>
          <t>Auto-generated record — status Retired.</t>
        </is>
      </c>
    </row>
    <row r="58">
      <c r="A58" t="inlineStr">
        <is>
          <t>LAP-00056</t>
        </is>
      </c>
      <c r="B58" t="inlineStr">
        <is>
          <t>DEL10869892</t>
        </is>
      </c>
      <c r="C58" t="inlineStr">
        <is>
          <t>Laptop</t>
        </is>
      </c>
      <c r="D58" t="inlineStr">
        <is>
          <t>Dell</t>
        </is>
      </c>
      <c r="E58" t="inlineStr">
        <is>
          <t>Latitude 5540</t>
        </is>
      </c>
      <c r="F58" t="inlineStr">
        <is>
          <t>Rebecca Henderson</t>
        </is>
      </c>
      <c r="G58" t="inlineStr">
        <is>
          <t>Warehouse</t>
        </is>
      </c>
      <c r="H58" t="inlineStr">
        <is>
          <t>Store-Stamford</t>
        </is>
      </c>
      <c r="I58" t="inlineStr">
        <is>
          <t>Stamford</t>
        </is>
      </c>
      <c r="J58" s="12" t="n">
        <v>44976</v>
      </c>
      <c r="K58" s="12" t="n">
        <v>46071</v>
      </c>
      <c r="L58" t="inlineStr">
        <is>
          <t>Assigned</t>
        </is>
      </c>
      <c r="M58" t="inlineStr">
        <is>
          <t>Excellent</t>
        </is>
      </c>
      <c r="N58" s="12" t="n">
        <v>46199</v>
      </c>
      <c r="O58" t="inlineStr">
        <is>
          <t>Assigned</t>
        </is>
      </c>
      <c r="P58" t="inlineStr"/>
    </row>
    <row r="59">
      <c r="A59" t="inlineStr">
        <is>
          <t>DSK-00057</t>
        </is>
      </c>
      <c r="B59" t="inlineStr">
        <is>
          <t>HP17868840</t>
        </is>
      </c>
      <c r="C59" t="inlineStr">
        <is>
          <t>Desktop</t>
        </is>
      </c>
      <c r="D59" t="inlineStr">
        <is>
          <t>HP</t>
        </is>
      </c>
      <c r="E59" t="inlineStr">
        <is>
          <t>ProDesk 400 G9</t>
        </is>
      </c>
      <c r="F59" t="inlineStr">
        <is>
          <t>James Ferrell</t>
        </is>
      </c>
      <c r="G59" t="inlineStr">
        <is>
          <t>Store Operations</t>
        </is>
      </c>
      <c r="H59" t="inlineStr">
        <is>
          <t>Store-Stamford</t>
        </is>
      </c>
      <c r="I59" t="inlineStr">
        <is>
          <t>Stamford</t>
        </is>
      </c>
      <c r="J59" s="12" t="n">
        <v>46015</v>
      </c>
      <c r="K59" s="12" t="n">
        <v>47110</v>
      </c>
      <c r="L59" t="inlineStr">
        <is>
          <t>In Repair</t>
        </is>
      </c>
      <c r="M59" t="inlineStr">
        <is>
          <t>Damaged</t>
        </is>
      </c>
      <c r="N59" s="12" t="n">
        <v>46093</v>
      </c>
      <c r="O59" t="inlineStr">
        <is>
          <t>In Repair</t>
        </is>
      </c>
      <c r="P59" t="inlineStr">
        <is>
          <t>Auto-generated record — status In Repair.</t>
        </is>
      </c>
    </row>
    <row r="60">
      <c r="A60" t="inlineStr">
        <is>
          <t>PRT-00058</t>
        </is>
      </c>
      <c r="B60" t="inlineStr">
        <is>
          <t>CAN56084187</t>
        </is>
      </c>
      <c r="C60" t="inlineStr">
        <is>
          <t>Printer</t>
        </is>
      </c>
      <c r="D60" t="inlineStr">
        <is>
          <t>Canon</t>
        </is>
      </c>
      <c r="E60" t="inlineStr">
        <is>
          <t>imageCLASS MF455dw</t>
        </is>
      </c>
      <c r="F60" t="inlineStr"/>
      <c r="G60" t="inlineStr">
        <is>
          <t>IT</t>
        </is>
      </c>
      <c r="H60" t="inlineStr">
        <is>
          <t>DC-PA</t>
        </is>
      </c>
      <c r="I60" t="inlineStr">
        <is>
          <t>Allentown</t>
        </is>
      </c>
      <c r="J60" s="12" t="n">
        <v>45898</v>
      </c>
      <c r="K60" s="12" t="n">
        <v>46263</v>
      </c>
      <c r="L60" t="inlineStr">
        <is>
          <t>In Stock</t>
        </is>
      </c>
      <c r="M60" t="inlineStr">
        <is>
          <t>Fair</t>
        </is>
      </c>
      <c r="N60" s="12" t="n">
        <v>46114</v>
      </c>
      <c r="O60" t="inlineStr">
        <is>
          <t>In Stock</t>
        </is>
      </c>
      <c r="P60" t="inlineStr">
        <is>
          <t>Auto-generated record — status In Stock.</t>
        </is>
      </c>
    </row>
    <row r="61">
      <c r="A61" t="inlineStr">
        <is>
          <t>LAP-00059</t>
        </is>
      </c>
      <c r="B61" t="inlineStr">
        <is>
          <t>DEL76500600</t>
        </is>
      </c>
      <c r="C61" t="inlineStr">
        <is>
          <t>Laptop</t>
        </is>
      </c>
      <c r="D61" t="inlineStr">
        <is>
          <t>Dell</t>
        </is>
      </c>
      <c r="E61" t="inlineStr">
        <is>
          <t>Latitude 5540</t>
        </is>
      </c>
      <c r="F61" t="inlineStr"/>
      <c r="G61" t="inlineStr">
        <is>
          <t>IT</t>
        </is>
      </c>
      <c r="H61" t="inlineStr">
        <is>
          <t>DC-PA</t>
        </is>
      </c>
      <c r="I61" t="inlineStr">
        <is>
          <t>Allentown</t>
        </is>
      </c>
      <c r="J61" s="12" t="n">
        <v>45645</v>
      </c>
      <c r="K61" s="12" t="n">
        <v>46740</v>
      </c>
      <c r="L61" t="inlineStr">
        <is>
          <t>In Stock</t>
        </is>
      </c>
      <c r="M61" t="inlineStr">
        <is>
          <t>Fair</t>
        </is>
      </c>
      <c r="N61" s="12" t="n">
        <v>46087</v>
      </c>
      <c r="O61" t="inlineStr">
        <is>
          <t>In Stock</t>
        </is>
      </c>
      <c r="P61" t="inlineStr">
        <is>
          <t>Auto-generated record — status In Stock.</t>
        </is>
      </c>
    </row>
    <row r="62">
      <c r="A62" t="inlineStr">
        <is>
          <t>DSK-00060</t>
        </is>
      </c>
      <c r="B62" t="inlineStr">
        <is>
          <t>DEL71395457</t>
        </is>
      </c>
      <c r="C62" t="inlineStr">
        <is>
          <t>Desktop</t>
        </is>
      </c>
      <c r="D62" t="inlineStr">
        <is>
          <t>Dell</t>
        </is>
      </c>
      <c r="E62" t="inlineStr">
        <is>
          <t>OptiPlex 7010</t>
        </is>
      </c>
      <c r="F62" t="inlineStr">
        <is>
          <t>Tricia Valencia</t>
        </is>
      </c>
      <c r="G62" t="inlineStr">
        <is>
          <t>Finance</t>
        </is>
      </c>
      <c r="H62" t="inlineStr">
        <is>
          <t>Store-Stamford</t>
        </is>
      </c>
      <c r="I62" t="inlineStr">
        <is>
          <t>Stamford</t>
        </is>
      </c>
      <c r="J62" s="12" t="n">
        <v>44883</v>
      </c>
      <c r="K62" s="12" t="n">
        <v>45978</v>
      </c>
      <c r="L62" t="inlineStr">
        <is>
          <t>Assigned</t>
        </is>
      </c>
      <c r="M62" t="inlineStr">
        <is>
          <t>Good</t>
        </is>
      </c>
      <c r="N62" s="12" t="n">
        <v>46189</v>
      </c>
      <c r="O62" t="inlineStr">
        <is>
          <t>Assigned</t>
        </is>
      </c>
      <c r="P62" t="inlineStr"/>
    </row>
    <row r="63">
      <c r="A63" t="inlineStr">
        <is>
          <t>DSK-00061</t>
        </is>
      </c>
      <c r="B63" t="inlineStr">
        <is>
          <t>DEL53455626</t>
        </is>
      </c>
      <c r="C63" t="inlineStr">
        <is>
          <t>Desktop</t>
        </is>
      </c>
      <c r="D63" t="inlineStr">
        <is>
          <t>Dell</t>
        </is>
      </c>
      <c r="E63" t="inlineStr">
        <is>
          <t>OptiPlex 7010</t>
        </is>
      </c>
      <c r="F63" t="inlineStr">
        <is>
          <t>Nathan Maldonado</t>
        </is>
      </c>
      <c r="G63" t="inlineStr">
        <is>
          <t>Customer Service</t>
        </is>
      </c>
      <c r="H63" t="inlineStr">
        <is>
          <t>Store-WhitePlains</t>
        </is>
      </c>
      <c r="I63" t="inlineStr">
        <is>
          <t>Westchester</t>
        </is>
      </c>
      <c r="J63" s="12" t="n">
        <v>45121</v>
      </c>
      <c r="K63" s="12" t="n">
        <v>46216</v>
      </c>
      <c r="L63" t="inlineStr">
        <is>
          <t>Assigned</t>
        </is>
      </c>
      <c r="M63" t="inlineStr">
        <is>
          <t>Good</t>
        </is>
      </c>
      <c r="N63" s="12" t="n">
        <v>46091</v>
      </c>
      <c r="O63" t="inlineStr">
        <is>
          <t>Assigned</t>
        </is>
      </c>
      <c r="P63" t="inlineStr"/>
    </row>
    <row r="64">
      <c r="A64" t="inlineStr">
        <is>
          <t>PRT-00062</t>
        </is>
      </c>
      <c r="B64" t="inlineStr">
        <is>
          <t>CAN94119192</t>
        </is>
      </c>
      <c r="C64" t="inlineStr">
        <is>
          <t>Printer</t>
        </is>
      </c>
      <c r="D64" t="inlineStr">
        <is>
          <t>Canon</t>
        </is>
      </c>
      <c r="E64" t="inlineStr">
        <is>
          <t>imageCLASS MF455dw</t>
        </is>
      </c>
      <c r="F64" t="inlineStr"/>
      <c r="G64" t="inlineStr">
        <is>
          <t>Store Operations</t>
        </is>
      </c>
      <c r="H64" t="inlineStr">
        <is>
          <t>HQ-Queens</t>
        </is>
      </c>
      <c r="I64" t="inlineStr">
        <is>
          <t>Queens</t>
        </is>
      </c>
      <c r="J64" s="12" t="n">
        <v>45857</v>
      </c>
      <c r="K64" s="12" t="n">
        <v>46222</v>
      </c>
      <c r="L64" t="inlineStr">
        <is>
          <t>In Stock</t>
        </is>
      </c>
      <c r="M64" t="inlineStr">
        <is>
          <t>Poor</t>
        </is>
      </c>
      <c r="N64" s="12" t="n">
        <v>46153</v>
      </c>
      <c r="O64" t="inlineStr">
        <is>
          <t>In Stock</t>
        </is>
      </c>
      <c r="P64" t="inlineStr">
        <is>
          <t>Auto-generated record — status In Stock.</t>
        </is>
      </c>
    </row>
    <row r="65">
      <c r="A65" t="inlineStr">
        <is>
          <t>LAP-00063</t>
        </is>
      </c>
      <c r="B65" t="inlineStr">
        <is>
          <t>LEN94148295</t>
        </is>
      </c>
      <c r="C65" t="inlineStr">
        <is>
          <t>Laptop</t>
        </is>
      </c>
      <c r="D65" t="inlineStr">
        <is>
          <t>Lenovo</t>
        </is>
      </c>
      <c r="E65" t="inlineStr">
        <is>
          <t>ThinkPad T14</t>
        </is>
      </c>
      <c r="F65" t="inlineStr"/>
      <c r="G65" t="inlineStr">
        <is>
          <t>HR</t>
        </is>
      </c>
      <c r="H65" t="inlineStr">
        <is>
          <t>Store-Bronx</t>
        </is>
      </c>
      <c r="I65" t="inlineStr">
        <is>
          <t>Bronx</t>
        </is>
      </c>
      <c r="J65" s="12" t="n">
        <v>45372</v>
      </c>
      <c r="K65" s="12" t="n">
        <v>46467</v>
      </c>
      <c r="L65" t="inlineStr">
        <is>
          <t>In Stock</t>
        </is>
      </c>
      <c r="M65" t="inlineStr">
        <is>
          <t>Fair</t>
        </is>
      </c>
      <c r="N65" s="12" t="n">
        <v>46127</v>
      </c>
      <c r="O65" t="inlineStr">
        <is>
          <t>In Stock</t>
        </is>
      </c>
      <c r="P65" t="inlineStr">
        <is>
          <t>Auto-generated record — status In Stock.</t>
        </is>
      </c>
    </row>
    <row r="66">
      <c r="A66" t="inlineStr">
        <is>
          <t>MOB-00064</t>
        </is>
      </c>
      <c r="B66" t="inlineStr">
        <is>
          <t>APP12053557</t>
        </is>
      </c>
      <c r="C66" t="inlineStr">
        <is>
          <t>Mobile Phone</t>
        </is>
      </c>
      <c r="D66" t="inlineStr">
        <is>
          <t>Apple</t>
        </is>
      </c>
      <c r="E66" t="inlineStr">
        <is>
          <t>iPhone 15</t>
        </is>
      </c>
      <c r="F66" t="inlineStr">
        <is>
          <t>Debra Davidson</t>
        </is>
      </c>
      <c r="G66" t="inlineStr">
        <is>
          <t>Field Support</t>
        </is>
      </c>
      <c r="H66" t="inlineStr">
        <is>
          <t>Store-Bronx</t>
        </is>
      </c>
      <c r="I66" t="inlineStr">
        <is>
          <t>Bronx</t>
        </is>
      </c>
      <c r="J66" s="12" t="n">
        <v>46052</v>
      </c>
      <c r="K66" s="12" t="n">
        <v>47147</v>
      </c>
      <c r="L66" t="inlineStr">
        <is>
          <t>Assigned</t>
        </is>
      </c>
      <c r="M66" t="inlineStr">
        <is>
          <t>Fair</t>
        </is>
      </c>
      <c r="N66" s="12" t="n">
        <v>46145</v>
      </c>
      <c r="O66" t="inlineStr">
        <is>
          <t>Assigned</t>
        </is>
      </c>
      <c r="P66" t="inlineStr"/>
    </row>
    <row r="67">
      <c r="A67" t="inlineStr">
        <is>
          <t>SCN-00065</t>
        </is>
      </c>
      <c r="B67" t="inlineStr">
        <is>
          <t>FUJ35145653</t>
        </is>
      </c>
      <c r="C67" t="inlineStr">
        <is>
          <t>Scanner</t>
        </is>
      </c>
      <c r="D67" t="inlineStr">
        <is>
          <t>Fujitsu</t>
        </is>
      </c>
      <c r="E67" t="inlineStr">
        <is>
          <t>fi-7160</t>
        </is>
      </c>
      <c r="F67" t="inlineStr">
        <is>
          <t>Jeffrey Chavez</t>
        </is>
      </c>
      <c r="G67" t="inlineStr">
        <is>
          <t>HR</t>
        </is>
      </c>
      <c r="H67" t="inlineStr">
        <is>
          <t>Store-WhitePlains</t>
        </is>
      </c>
      <c r="I67" t="inlineStr">
        <is>
          <t>Westchester</t>
        </is>
      </c>
      <c r="J67" s="12" t="n">
        <v>44983</v>
      </c>
      <c r="K67" s="12" t="n">
        <v>45348</v>
      </c>
      <c r="L67" t="inlineStr">
        <is>
          <t>Assigned</t>
        </is>
      </c>
      <c r="M67" t="inlineStr">
        <is>
          <t>Good</t>
        </is>
      </c>
      <c r="N67" s="12" t="n">
        <v>46109</v>
      </c>
      <c r="O67" t="inlineStr">
        <is>
          <t>Assigned</t>
        </is>
      </c>
      <c r="P67" t="inlineStr"/>
    </row>
    <row r="68">
      <c r="A68" t="inlineStr">
        <is>
          <t>NET-00066</t>
        </is>
      </c>
      <c r="B68" t="inlineStr">
        <is>
          <t>UBI85752723</t>
        </is>
      </c>
      <c r="C68" t="inlineStr">
        <is>
          <t>Network Device</t>
        </is>
      </c>
      <c r="D68" t="inlineStr">
        <is>
          <t>Ubiquiti</t>
        </is>
      </c>
      <c r="E68" t="inlineStr">
        <is>
          <t>UniFi AP U6 Pro</t>
        </is>
      </c>
      <c r="F68" t="inlineStr"/>
      <c r="G68" t="inlineStr">
        <is>
          <t>Customer Service</t>
        </is>
      </c>
      <c r="H68" t="inlineStr">
        <is>
          <t>Store-Manhattan</t>
        </is>
      </c>
      <c r="I68" t="inlineStr">
        <is>
          <t>Manhattan</t>
        </is>
      </c>
      <c r="J68" s="12" t="n">
        <v>44836</v>
      </c>
      <c r="K68" s="12" t="n">
        <v>45201</v>
      </c>
      <c r="L68" t="inlineStr">
        <is>
          <t>Retired</t>
        </is>
      </c>
      <c r="M68" t="inlineStr">
        <is>
          <t>Excellent</t>
        </is>
      </c>
      <c r="N68" s="12" t="n">
        <v>46094</v>
      </c>
      <c r="O68" t="inlineStr">
        <is>
          <t>Retired</t>
        </is>
      </c>
      <c r="P68" t="inlineStr">
        <is>
          <t>Auto-generated record — status Retired.</t>
        </is>
      </c>
    </row>
    <row r="69">
      <c r="A69" t="inlineStr">
        <is>
          <t>SCN-00067</t>
        </is>
      </c>
      <c r="B69" t="inlineStr">
        <is>
          <t>FUJ88800253</t>
        </is>
      </c>
      <c r="C69" t="inlineStr">
        <is>
          <t>Scanner</t>
        </is>
      </c>
      <c r="D69" t="inlineStr">
        <is>
          <t>Fujitsu</t>
        </is>
      </c>
      <c r="E69" t="inlineStr">
        <is>
          <t>fi-7160</t>
        </is>
      </c>
      <c r="F69" t="inlineStr">
        <is>
          <t>Sherri Baker</t>
        </is>
      </c>
      <c r="G69" t="inlineStr">
        <is>
          <t>Finance</t>
        </is>
      </c>
      <c r="H69" t="inlineStr">
        <is>
          <t>Store-Stamford</t>
        </is>
      </c>
      <c r="I69" t="inlineStr">
        <is>
          <t>Stamford</t>
        </is>
      </c>
      <c r="J69" s="12" t="n">
        <v>45257</v>
      </c>
      <c r="K69" s="12" t="n">
        <v>45622</v>
      </c>
      <c r="L69" t="inlineStr">
        <is>
          <t>Assigned</t>
        </is>
      </c>
      <c r="M69" t="inlineStr">
        <is>
          <t>Excellent</t>
        </is>
      </c>
      <c r="N69" s="12" t="n">
        <v>46191</v>
      </c>
      <c r="O69" t="inlineStr">
        <is>
          <t>Assigned</t>
        </is>
      </c>
      <c r="P69" t="inlineStr"/>
    </row>
    <row r="70">
      <c r="A70" t="inlineStr">
        <is>
          <t>PRT-00068</t>
        </is>
      </c>
      <c r="B70" t="inlineStr">
        <is>
          <t>CAN48784371</t>
        </is>
      </c>
      <c r="C70" t="inlineStr">
        <is>
          <t>Printer</t>
        </is>
      </c>
      <c r="D70" t="inlineStr">
        <is>
          <t>Canon</t>
        </is>
      </c>
      <c r="E70" t="inlineStr">
        <is>
          <t>imageCLASS MF455dw</t>
        </is>
      </c>
      <c r="F70" t="inlineStr">
        <is>
          <t>Cassandra Gaines</t>
        </is>
      </c>
      <c r="G70" t="inlineStr">
        <is>
          <t>Procurement</t>
        </is>
      </c>
      <c r="H70" t="inlineStr">
        <is>
          <t>DC-PA</t>
        </is>
      </c>
      <c r="I70" t="inlineStr">
        <is>
          <t>Allentown</t>
        </is>
      </c>
      <c r="J70" s="12" t="n">
        <v>45570</v>
      </c>
      <c r="K70" s="12" t="n">
        <v>45935</v>
      </c>
      <c r="L70" t="inlineStr">
        <is>
          <t>In Repair</t>
        </is>
      </c>
      <c r="M70" t="inlineStr">
        <is>
          <t>Damaged</t>
        </is>
      </c>
      <c r="N70" s="12" t="n">
        <v>46198</v>
      </c>
      <c r="O70" t="inlineStr">
        <is>
          <t>In Repair</t>
        </is>
      </c>
      <c r="P70" t="inlineStr">
        <is>
          <t>Auto-generated record — status In Repair.</t>
        </is>
      </c>
    </row>
    <row r="71">
      <c r="A71" t="inlineStr">
        <is>
          <t>DSK-00069</t>
        </is>
      </c>
      <c r="B71" t="inlineStr">
        <is>
          <t>DEL09474376</t>
        </is>
      </c>
      <c r="C71" t="inlineStr">
        <is>
          <t>Desktop</t>
        </is>
      </c>
      <c r="D71" t="inlineStr">
        <is>
          <t>Dell</t>
        </is>
      </c>
      <c r="E71" t="inlineStr">
        <is>
          <t>OptiPlex 7010</t>
        </is>
      </c>
      <c r="F71" t="inlineStr">
        <is>
          <t>Elizabeth Fowler</t>
        </is>
      </c>
      <c r="G71" t="inlineStr">
        <is>
          <t>Procurement</t>
        </is>
      </c>
      <c r="H71" t="inlineStr">
        <is>
          <t>Store-WhitePlains</t>
        </is>
      </c>
      <c r="I71" t="inlineStr">
        <is>
          <t>Westchester</t>
        </is>
      </c>
      <c r="J71" s="12" t="n">
        <v>45907</v>
      </c>
      <c r="K71" s="12" t="n">
        <v>47002</v>
      </c>
      <c r="L71" t="inlineStr">
        <is>
          <t>Assigned</t>
        </is>
      </c>
      <c r="M71" t="inlineStr">
        <is>
          <t>Fair</t>
        </is>
      </c>
      <c r="N71" s="12" t="n">
        <v>46089</v>
      </c>
      <c r="O71" t="inlineStr">
        <is>
          <t>Assigned</t>
        </is>
      </c>
      <c r="P71" t="inlineStr"/>
    </row>
    <row r="72">
      <c r="A72" t="inlineStr">
        <is>
          <t>LAP-00070</t>
        </is>
      </c>
      <c r="B72" t="inlineStr">
        <is>
          <t>HP62754171</t>
        </is>
      </c>
      <c r="C72" t="inlineStr">
        <is>
          <t>Laptop</t>
        </is>
      </c>
      <c r="D72" t="inlineStr">
        <is>
          <t>HP</t>
        </is>
      </c>
      <c r="E72" t="inlineStr">
        <is>
          <t>EliteBook 840 G10</t>
        </is>
      </c>
      <c r="F72" t="inlineStr"/>
      <c r="G72" t="inlineStr">
        <is>
          <t>Customer Service</t>
        </is>
      </c>
      <c r="H72" t="inlineStr">
        <is>
          <t>Store-Yonkers</t>
        </is>
      </c>
      <c r="I72" t="inlineStr">
        <is>
          <t>Westchester</t>
        </is>
      </c>
      <c r="J72" s="12" t="n">
        <v>45442</v>
      </c>
      <c r="K72" s="12" t="n">
        <v>46537</v>
      </c>
      <c r="L72" t="inlineStr">
        <is>
          <t>In Stock</t>
        </is>
      </c>
      <c r="M72" t="inlineStr">
        <is>
          <t>Good</t>
        </is>
      </c>
      <c r="N72" s="12" t="n">
        <v>46198</v>
      </c>
      <c r="O72" t="inlineStr">
        <is>
          <t>In Stock</t>
        </is>
      </c>
      <c r="P72" t="inlineStr">
        <is>
          <t>Auto-generated record — status In Stock.</t>
        </is>
      </c>
    </row>
    <row r="73">
      <c r="A73" t="inlineStr">
        <is>
          <t>PRT-00071</t>
        </is>
      </c>
      <c r="B73" t="inlineStr">
        <is>
          <t>HP89615483</t>
        </is>
      </c>
      <c r="C73" t="inlineStr">
        <is>
          <t>Printer</t>
        </is>
      </c>
      <c r="D73" t="inlineStr">
        <is>
          <t>HP</t>
        </is>
      </c>
      <c r="E73" t="inlineStr">
        <is>
          <t>LaserJet Pro M404dn</t>
        </is>
      </c>
      <c r="F73" t="inlineStr"/>
      <c r="G73" t="inlineStr">
        <is>
          <t>Field Support</t>
        </is>
      </c>
      <c r="H73" t="inlineStr">
        <is>
          <t>Store-Stamford</t>
        </is>
      </c>
      <c r="I73" t="inlineStr">
        <is>
          <t>Stamford</t>
        </is>
      </c>
      <c r="J73" s="12" t="n">
        <v>44398</v>
      </c>
      <c r="K73" s="12" t="n">
        <v>44763</v>
      </c>
      <c r="L73" t="inlineStr">
        <is>
          <t>In Stock</t>
        </is>
      </c>
      <c r="M73" t="inlineStr">
        <is>
          <t>Good</t>
        </is>
      </c>
      <c r="N73" s="12" t="n">
        <v>46103</v>
      </c>
      <c r="O73" t="inlineStr">
        <is>
          <t>In Stock</t>
        </is>
      </c>
      <c r="P73" t="inlineStr">
        <is>
          <t>Auto-generated record — status In Stock.</t>
        </is>
      </c>
    </row>
    <row r="74">
      <c r="A74" t="inlineStr">
        <is>
          <t>DSK-00072</t>
        </is>
      </c>
      <c r="B74" t="inlineStr">
        <is>
          <t>HP91312990</t>
        </is>
      </c>
      <c r="C74" t="inlineStr">
        <is>
          <t>Desktop</t>
        </is>
      </c>
      <c r="D74" t="inlineStr">
        <is>
          <t>HP</t>
        </is>
      </c>
      <c r="E74" t="inlineStr">
        <is>
          <t>ProDesk 400 G9</t>
        </is>
      </c>
      <c r="F74" t="inlineStr">
        <is>
          <t>Brittany Farmer</t>
        </is>
      </c>
      <c r="G74" t="inlineStr">
        <is>
          <t>Customer Service</t>
        </is>
      </c>
      <c r="H74" t="inlineStr">
        <is>
          <t>DC-NY</t>
        </is>
      </c>
      <c r="I74" t="inlineStr">
        <is>
          <t>Queens</t>
        </is>
      </c>
      <c r="J74" s="12" t="n">
        <v>44804</v>
      </c>
      <c r="K74" s="12" t="n">
        <v>45899</v>
      </c>
      <c r="L74" t="inlineStr">
        <is>
          <t>Assigned</t>
        </is>
      </c>
      <c r="M74" t="inlineStr">
        <is>
          <t>Fair</t>
        </is>
      </c>
      <c r="N74" s="12" t="n">
        <v>46146</v>
      </c>
      <c r="O74" t="inlineStr">
        <is>
          <t>Assigned</t>
        </is>
      </c>
      <c r="P74" t="inlineStr"/>
    </row>
    <row r="75">
      <c r="A75" t="inlineStr">
        <is>
          <t>MOB-00073</t>
        </is>
      </c>
      <c r="B75" t="inlineStr">
        <is>
          <t>APP74002288</t>
        </is>
      </c>
      <c r="C75" t="inlineStr">
        <is>
          <t>Mobile Phone</t>
        </is>
      </c>
      <c r="D75" t="inlineStr">
        <is>
          <t>Apple</t>
        </is>
      </c>
      <c r="E75" t="inlineStr">
        <is>
          <t>iPhone 15</t>
        </is>
      </c>
      <c r="F75" t="inlineStr">
        <is>
          <t>Paula Moreno</t>
        </is>
      </c>
      <c r="G75" t="inlineStr">
        <is>
          <t>Store Operations</t>
        </is>
      </c>
      <c r="H75" t="inlineStr">
        <is>
          <t>DC-PA</t>
        </is>
      </c>
      <c r="I75" t="inlineStr">
        <is>
          <t>Allentown</t>
        </is>
      </c>
      <c r="J75" s="12" t="n">
        <v>45608</v>
      </c>
      <c r="K75" s="12" t="n">
        <v>46703</v>
      </c>
      <c r="L75" t="inlineStr">
        <is>
          <t>Assigned</t>
        </is>
      </c>
      <c r="M75" t="inlineStr">
        <is>
          <t>Damaged</t>
        </is>
      </c>
      <c r="N75" s="12" t="n">
        <v>46132</v>
      </c>
      <c r="O75" t="inlineStr">
        <is>
          <t>Assigned</t>
        </is>
      </c>
      <c r="P75" t="inlineStr"/>
    </row>
    <row r="76">
      <c r="A76" t="inlineStr">
        <is>
          <t>MON-00074</t>
        </is>
      </c>
      <c r="B76" t="inlineStr">
        <is>
          <t>LG60737583</t>
        </is>
      </c>
      <c r="C76" t="inlineStr">
        <is>
          <t>Monitor</t>
        </is>
      </c>
      <c r="D76" t="inlineStr">
        <is>
          <t>LG</t>
        </is>
      </c>
      <c r="E76" t="inlineStr">
        <is>
          <t>27BN85U-N</t>
        </is>
      </c>
      <c r="F76" t="inlineStr"/>
      <c r="G76" t="inlineStr">
        <is>
          <t>HR</t>
        </is>
      </c>
      <c r="H76" t="inlineStr">
        <is>
          <t>Store-WhitePlains</t>
        </is>
      </c>
      <c r="I76" t="inlineStr">
        <is>
          <t>Westchester</t>
        </is>
      </c>
      <c r="J76" s="12" t="n">
        <v>44988</v>
      </c>
      <c r="K76" s="12" t="n">
        <v>45353</v>
      </c>
      <c r="L76" t="inlineStr">
        <is>
          <t>In Stock</t>
        </is>
      </c>
      <c r="M76" t="inlineStr">
        <is>
          <t>Poor</t>
        </is>
      </c>
      <c r="N76" s="12" t="n">
        <v>46112</v>
      </c>
      <c r="O76" t="inlineStr">
        <is>
          <t>In Stock</t>
        </is>
      </c>
      <c r="P76" t="inlineStr">
        <is>
          <t>Auto-generated record — status In Stock.</t>
        </is>
      </c>
    </row>
    <row r="77">
      <c r="A77" t="inlineStr">
        <is>
          <t>NET-00075</t>
        </is>
      </c>
      <c r="B77" t="inlineStr">
        <is>
          <t>UBI35493518</t>
        </is>
      </c>
      <c r="C77" t="inlineStr">
        <is>
          <t>Network Device</t>
        </is>
      </c>
      <c r="D77" t="inlineStr">
        <is>
          <t>Ubiquiti</t>
        </is>
      </c>
      <c r="E77" t="inlineStr">
        <is>
          <t>UniFi AP U6 Pro</t>
        </is>
      </c>
      <c r="F77" t="inlineStr">
        <is>
          <t>Fred Smith</t>
        </is>
      </c>
      <c r="G77" t="inlineStr">
        <is>
          <t>Warehouse</t>
        </is>
      </c>
      <c r="H77" t="inlineStr">
        <is>
          <t>Store-Stamford</t>
        </is>
      </c>
      <c r="I77" t="inlineStr">
        <is>
          <t>Stamford</t>
        </is>
      </c>
      <c r="J77" s="12" t="n">
        <v>45277</v>
      </c>
      <c r="K77" s="12" t="n">
        <v>45642</v>
      </c>
      <c r="L77" t="inlineStr">
        <is>
          <t>In Repair</t>
        </is>
      </c>
      <c r="M77" t="inlineStr">
        <is>
          <t>Poor</t>
        </is>
      </c>
      <c r="N77" s="12" t="n">
        <v>46102</v>
      </c>
      <c r="O77" t="inlineStr">
        <is>
          <t>In Repair</t>
        </is>
      </c>
      <c r="P77" t="inlineStr">
        <is>
          <t>Auto-generated record — status In Repair.</t>
        </is>
      </c>
    </row>
    <row r="78">
      <c r="A78" t="inlineStr">
        <is>
          <t>PRT-00076</t>
        </is>
      </c>
      <c r="B78" t="inlineStr">
        <is>
          <t>HP03996631</t>
        </is>
      </c>
      <c r="C78" t="inlineStr">
        <is>
          <t>Printer</t>
        </is>
      </c>
      <c r="D78" t="inlineStr">
        <is>
          <t>HP</t>
        </is>
      </c>
      <c r="E78" t="inlineStr">
        <is>
          <t>LaserJet Pro M404dn</t>
        </is>
      </c>
      <c r="F78" t="inlineStr"/>
      <c r="G78" t="inlineStr">
        <is>
          <t>HR</t>
        </is>
      </c>
      <c r="H78" t="inlineStr">
        <is>
          <t>Store-Queens</t>
        </is>
      </c>
      <c r="I78" t="inlineStr">
        <is>
          <t>Queens</t>
        </is>
      </c>
      <c r="J78" s="12" t="n">
        <v>45249</v>
      </c>
      <c r="K78" s="12" t="n">
        <v>45614</v>
      </c>
      <c r="L78" t="inlineStr">
        <is>
          <t>In Stock</t>
        </is>
      </c>
      <c r="M78" t="inlineStr">
        <is>
          <t>Fair</t>
        </is>
      </c>
      <c r="N78" s="12" t="n">
        <v>46187</v>
      </c>
      <c r="O78" t="inlineStr">
        <is>
          <t>In Stock</t>
        </is>
      </c>
      <c r="P78" t="inlineStr">
        <is>
          <t>Auto-generated record — status In Stock.</t>
        </is>
      </c>
    </row>
    <row r="79">
      <c r="A79" t="inlineStr">
        <is>
          <t>LAP-00077</t>
        </is>
      </c>
      <c r="B79" t="inlineStr">
        <is>
          <t>DEL64431550</t>
        </is>
      </c>
      <c r="C79" t="inlineStr">
        <is>
          <t>Laptop</t>
        </is>
      </c>
      <c r="D79" t="inlineStr">
        <is>
          <t>Dell</t>
        </is>
      </c>
      <c r="E79" t="inlineStr">
        <is>
          <t>Latitude 5540</t>
        </is>
      </c>
      <c r="F79" t="inlineStr">
        <is>
          <t>Sherry Decker</t>
        </is>
      </c>
      <c r="G79" t="inlineStr">
        <is>
          <t>Warehouse</t>
        </is>
      </c>
      <c r="H79" t="inlineStr">
        <is>
          <t>Store-Queens</t>
        </is>
      </c>
      <c r="I79" t="inlineStr">
        <is>
          <t>Queens</t>
        </is>
      </c>
      <c r="J79" s="12" t="n">
        <v>45782</v>
      </c>
      <c r="K79" s="12" t="n">
        <v>46877</v>
      </c>
      <c r="L79" t="inlineStr">
        <is>
          <t>Assigned</t>
        </is>
      </c>
      <c r="M79" t="inlineStr">
        <is>
          <t>Poor</t>
        </is>
      </c>
      <c r="N79" s="12" t="n">
        <v>46093</v>
      </c>
      <c r="O79" t="inlineStr">
        <is>
          <t>Assigned</t>
        </is>
      </c>
      <c r="P79" t="inlineStr"/>
    </row>
    <row r="80">
      <c r="A80" t="inlineStr">
        <is>
          <t>PRT-00078</t>
        </is>
      </c>
      <c r="B80" t="inlineStr">
        <is>
          <t>HP86849769</t>
        </is>
      </c>
      <c r="C80" t="inlineStr">
        <is>
          <t>Printer</t>
        </is>
      </c>
      <c r="D80" t="inlineStr">
        <is>
          <t>HP</t>
        </is>
      </c>
      <c r="E80" t="inlineStr">
        <is>
          <t>LaserJet Pro M404dn</t>
        </is>
      </c>
      <c r="F80" t="inlineStr"/>
      <c r="G80" t="inlineStr">
        <is>
          <t>Store Operations</t>
        </is>
      </c>
      <c r="H80" t="inlineStr">
        <is>
          <t>Store-Bronx</t>
        </is>
      </c>
      <c r="I80" t="inlineStr">
        <is>
          <t>Bronx</t>
        </is>
      </c>
      <c r="J80" s="12" t="n">
        <v>44895</v>
      </c>
      <c r="K80" s="12" t="n">
        <v>45260</v>
      </c>
      <c r="L80" t="inlineStr">
        <is>
          <t>In Stock</t>
        </is>
      </c>
      <c r="M80" t="inlineStr">
        <is>
          <t>Poor</t>
        </is>
      </c>
      <c r="N80" s="12" t="n">
        <v>46087</v>
      </c>
      <c r="O80" t="inlineStr">
        <is>
          <t>In Stock</t>
        </is>
      </c>
      <c r="P80" t="inlineStr">
        <is>
          <t>Auto-generated record — status In Stock.</t>
        </is>
      </c>
    </row>
    <row r="81">
      <c r="A81" t="inlineStr">
        <is>
          <t>SCN-00079</t>
        </is>
      </c>
      <c r="B81" t="inlineStr">
        <is>
          <t>FUJ01578465</t>
        </is>
      </c>
      <c r="C81" t="inlineStr">
        <is>
          <t>Scanner</t>
        </is>
      </c>
      <c r="D81" t="inlineStr">
        <is>
          <t>Fujitsu</t>
        </is>
      </c>
      <c r="E81" t="inlineStr">
        <is>
          <t>fi-7160</t>
        </is>
      </c>
      <c r="F81" t="inlineStr">
        <is>
          <t>Anthony Humphrey</t>
        </is>
      </c>
      <c r="G81" t="inlineStr">
        <is>
          <t>Warehouse</t>
        </is>
      </c>
      <c r="H81" t="inlineStr">
        <is>
          <t>Store-Yonkers</t>
        </is>
      </c>
      <c r="I81" t="inlineStr">
        <is>
          <t>Westchester</t>
        </is>
      </c>
      <c r="J81" s="12" t="n">
        <v>44443</v>
      </c>
      <c r="K81" s="12" t="n">
        <v>44808</v>
      </c>
      <c r="L81" t="inlineStr">
        <is>
          <t>In Repair</t>
        </is>
      </c>
      <c r="M81" t="inlineStr">
        <is>
          <t>Fair</t>
        </is>
      </c>
      <c r="N81" s="12" t="n">
        <v>46100</v>
      </c>
      <c r="O81" t="inlineStr">
        <is>
          <t>In Repair</t>
        </is>
      </c>
      <c r="P81" t="inlineStr">
        <is>
          <t>Auto-generated record — status In Repair.</t>
        </is>
      </c>
    </row>
    <row r="82">
      <c r="A82" t="inlineStr">
        <is>
          <t>NET-00080</t>
        </is>
      </c>
      <c r="B82" t="inlineStr">
        <is>
          <t>UBI87976301</t>
        </is>
      </c>
      <c r="C82" t="inlineStr">
        <is>
          <t>Network Device</t>
        </is>
      </c>
      <c r="D82" t="inlineStr">
        <is>
          <t>Ubiquiti</t>
        </is>
      </c>
      <c r="E82" t="inlineStr">
        <is>
          <t>UniFi AP U6 Pro</t>
        </is>
      </c>
      <c r="F82" t="inlineStr"/>
      <c r="G82" t="inlineStr">
        <is>
          <t>Finance</t>
        </is>
      </c>
      <c r="H82" t="inlineStr">
        <is>
          <t>Store-WhitePlains</t>
        </is>
      </c>
      <c r="I82" t="inlineStr">
        <is>
          <t>Westchester</t>
        </is>
      </c>
      <c r="J82" s="12" t="n">
        <v>44432</v>
      </c>
      <c r="K82" s="12" t="n">
        <v>44797</v>
      </c>
      <c r="L82" t="inlineStr">
        <is>
          <t>Disposed</t>
        </is>
      </c>
      <c r="M82" t="inlineStr">
        <is>
          <t>Excellent</t>
        </is>
      </c>
      <c r="N82" s="12" t="n">
        <v>46166</v>
      </c>
      <c r="O82" t="inlineStr">
        <is>
          <t>Disposed</t>
        </is>
      </c>
      <c r="P82" t="inlineStr">
        <is>
          <t>Auto-generated record — status Disposed.</t>
        </is>
      </c>
    </row>
    <row r="83">
      <c r="A83" t="inlineStr">
        <is>
          <t>DSK-00081</t>
        </is>
      </c>
      <c r="B83" t="inlineStr">
        <is>
          <t>HP84392407</t>
        </is>
      </c>
      <c r="C83" t="inlineStr">
        <is>
          <t>Desktop</t>
        </is>
      </c>
      <c r="D83" t="inlineStr">
        <is>
          <t>HP</t>
        </is>
      </c>
      <c r="E83" t="inlineStr">
        <is>
          <t>ProDesk 400 G9</t>
        </is>
      </c>
      <c r="F83" t="inlineStr">
        <is>
          <t>Angelica Tucker</t>
        </is>
      </c>
      <c r="G83" t="inlineStr">
        <is>
          <t>HR</t>
        </is>
      </c>
      <c r="H83" t="inlineStr">
        <is>
          <t>DC-NY</t>
        </is>
      </c>
      <c r="I83" t="inlineStr">
        <is>
          <t>Queens</t>
        </is>
      </c>
      <c r="J83" s="12" t="n">
        <v>44766</v>
      </c>
      <c r="K83" s="12" t="n">
        <v>45861</v>
      </c>
      <c r="L83" t="inlineStr">
        <is>
          <t>Assigned</t>
        </is>
      </c>
      <c r="M83" t="inlineStr">
        <is>
          <t>Damaged</t>
        </is>
      </c>
      <c r="N83" s="12" t="n">
        <v>46086</v>
      </c>
      <c r="O83" t="inlineStr">
        <is>
          <t>Assigned</t>
        </is>
      </c>
      <c r="P83" t="inlineStr"/>
    </row>
    <row r="84">
      <c r="A84" t="inlineStr">
        <is>
          <t>MOB-00082</t>
        </is>
      </c>
      <c r="B84" t="inlineStr">
        <is>
          <t>SAM48200390</t>
        </is>
      </c>
      <c r="C84" t="inlineStr">
        <is>
          <t>Mobile Phone</t>
        </is>
      </c>
      <c r="D84" t="inlineStr">
        <is>
          <t>Samsung</t>
        </is>
      </c>
      <c r="E84" t="inlineStr">
        <is>
          <t>Galaxy S24</t>
        </is>
      </c>
      <c r="F84" t="inlineStr">
        <is>
          <t>Philip Cannon</t>
        </is>
      </c>
      <c r="G84" t="inlineStr">
        <is>
          <t>Store Operations</t>
        </is>
      </c>
      <c r="H84" t="inlineStr">
        <is>
          <t>DC-NJ</t>
        </is>
      </c>
      <c r="I84" t="inlineStr">
        <is>
          <t>Newark</t>
        </is>
      </c>
      <c r="J84" s="12" t="n">
        <v>45151</v>
      </c>
      <c r="K84" s="12" t="n">
        <v>46246</v>
      </c>
      <c r="L84" t="inlineStr">
        <is>
          <t>In Repair</t>
        </is>
      </c>
      <c r="M84" t="inlineStr">
        <is>
          <t>Good</t>
        </is>
      </c>
      <c r="N84" s="12" t="n">
        <v>46093</v>
      </c>
      <c r="O84" t="inlineStr">
        <is>
          <t>In Repair</t>
        </is>
      </c>
      <c r="P84" t="inlineStr">
        <is>
          <t>Auto-generated record — status In Repair.</t>
        </is>
      </c>
    </row>
    <row r="85">
      <c r="A85" t="inlineStr">
        <is>
          <t>PRT-00083</t>
        </is>
      </c>
      <c r="B85" t="inlineStr">
        <is>
          <t>HP08773830</t>
        </is>
      </c>
      <c r="C85" t="inlineStr">
        <is>
          <t>Printer</t>
        </is>
      </c>
      <c r="D85" t="inlineStr">
        <is>
          <t>HP</t>
        </is>
      </c>
      <c r="E85" t="inlineStr">
        <is>
          <t>LaserJet Pro M404dn</t>
        </is>
      </c>
      <c r="F85" t="inlineStr"/>
      <c r="G85" t="inlineStr">
        <is>
          <t>Field Support</t>
        </is>
      </c>
      <c r="H85" t="inlineStr">
        <is>
          <t>DC-NJ</t>
        </is>
      </c>
      <c r="I85" t="inlineStr">
        <is>
          <t>Newark</t>
        </is>
      </c>
      <c r="J85" s="12" t="n">
        <v>44943</v>
      </c>
      <c r="K85" s="12" t="n">
        <v>45308</v>
      </c>
      <c r="L85" t="inlineStr">
        <is>
          <t>In Stock</t>
        </is>
      </c>
      <c r="M85" t="inlineStr">
        <is>
          <t>Poor</t>
        </is>
      </c>
      <c r="N85" s="12" t="n">
        <v>46111</v>
      </c>
      <c r="O85" t="inlineStr">
        <is>
          <t>In Stock</t>
        </is>
      </c>
      <c r="P85" t="inlineStr">
        <is>
          <t>Auto-generated record — status In Stock.</t>
        </is>
      </c>
    </row>
    <row r="86">
      <c r="A86" t="inlineStr">
        <is>
          <t>NET-00084</t>
        </is>
      </c>
      <c r="B86" t="inlineStr">
        <is>
          <t>CIS95265074</t>
        </is>
      </c>
      <c r="C86" t="inlineStr">
        <is>
          <t>Network Device</t>
        </is>
      </c>
      <c r="D86" t="inlineStr">
        <is>
          <t>Cisco</t>
        </is>
      </c>
      <c r="E86" t="inlineStr">
        <is>
          <t>Meraki MR46</t>
        </is>
      </c>
      <c r="F86" t="inlineStr"/>
      <c r="G86" t="inlineStr">
        <is>
          <t>IT</t>
        </is>
      </c>
      <c r="H86" t="inlineStr">
        <is>
          <t>DC-PA</t>
        </is>
      </c>
      <c r="I86" t="inlineStr">
        <is>
          <t>Allentown</t>
        </is>
      </c>
      <c r="J86" s="12" t="n">
        <v>45036</v>
      </c>
      <c r="K86" s="12" t="n">
        <v>45401</v>
      </c>
      <c r="L86" t="inlineStr">
        <is>
          <t>Returned</t>
        </is>
      </c>
      <c r="M86" t="inlineStr">
        <is>
          <t>Fair</t>
        </is>
      </c>
      <c r="N86" s="12" t="n">
        <v>46199</v>
      </c>
      <c r="O86" t="inlineStr">
        <is>
          <t>Returned</t>
        </is>
      </c>
      <c r="P86" t="inlineStr">
        <is>
          <t>Auto-generated record — status Returned.</t>
        </is>
      </c>
    </row>
    <row r="87">
      <c r="A87" t="inlineStr">
        <is>
          <t>MOB-00085</t>
        </is>
      </c>
      <c r="B87" t="inlineStr">
        <is>
          <t>SAM53789275</t>
        </is>
      </c>
      <c r="C87" t="inlineStr">
        <is>
          <t>Mobile Phone</t>
        </is>
      </c>
      <c r="D87" t="inlineStr">
        <is>
          <t>Samsung</t>
        </is>
      </c>
      <c r="E87" t="inlineStr">
        <is>
          <t>Galaxy S24</t>
        </is>
      </c>
      <c r="F87" t="inlineStr">
        <is>
          <t>John Pierce</t>
        </is>
      </c>
      <c r="G87" t="inlineStr">
        <is>
          <t>HR</t>
        </is>
      </c>
      <c r="H87" t="inlineStr">
        <is>
          <t>Store-Stamford</t>
        </is>
      </c>
      <c r="I87" t="inlineStr">
        <is>
          <t>Stamford</t>
        </is>
      </c>
      <c r="J87" s="12" t="n">
        <v>44949</v>
      </c>
      <c r="K87" s="12" t="n">
        <v>46044</v>
      </c>
      <c r="L87" t="inlineStr">
        <is>
          <t>Assigned</t>
        </is>
      </c>
      <c r="M87" t="inlineStr">
        <is>
          <t>Fair</t>
        </is>
      </c>
      <c r="N87" s="12" t="n">
        <v>46101</v>
      </c>
      <c r="O87" t="inlineStr">
        <is>
          <t>Assigned</t>
        </is>
      </c>
      <c r="P87" t="inlineStr"/>
    </row>
    <row r="88">
      <c r="A88" t="inlineStr">
        <is>
          <t>PRT-00086</t>
        </is>
      </c>
      <c r="B88" t="inlineStr">
        <is>
          <t>CAN60634748</t>
        </is>
      </c>
      <c r="C88" t="inlineStr">
        <is>
          <t>Printer</t>
        </is>
      </c>
      <c r="D88" t="inlineStr">
        <is>
          <t>Canon</t>
        </is>
      </c>
      <c r="E88" t="inlineStr">
        <is>
          <t>imageCLASS MF455dw</t>
        </is>
      </c>
      <c r="F88" t="inlineStr"/>
      <c r="G88" t="inlineStr">
        <is>
          <t>IT</t>
        </is>
      </c>
      <c r="H88" t="inlineStr">
        <is>
          <t>Store-Queens</t>
        </is>
      </c>
      <c r="I88" t="inlineStr">
        <is>
          <t>Queens</t>
        </is>
      </c>
      <c r="J88" s="12" t="n">
        <v>45638</v>
      </c>
      <c r="K88" s="12" t="n">
        <v>46003</v>
      </c>
      <c r="L88" t="inlineStr">
        <is>
          <t>Retired</t>
        </is>
      </c>
      <c r="M88" t="inlineStr">
        <is>
          <t>Damaged</t>
        </is>
      </c>
      <c r="N88" s="12" t="n">
        <v>46178</v>
      </c>
      <c r="O88" t="inlineStr">
        <is>
          <t>Retired</t>
        </is>
      </c>
      <c r="P88" t="inlineStr">
        <is>
          <t>Auto-generated record — status Retired.</t>
        </is>
      </c>
    </row>
    <row r="89">
      <c r="A89" t="inlineStr">
        <is>
          <t>SCN-00087</t>
        </is>
      </c>
      <c r="B89" t="inlineStr">
        <is>
          <t>FUJ15198775</t>
        </is>
      </c>
      <c r="C89" t="inlineStr">
        <is>
          <t>Scanner</t>
        </is>
      </c>
      <c r="D89" t="inlineStr">
        <is>
          <t>Fujitsu</t>
        </is>
      </c>
      <c r="E89" t="inlineStr">
        <is>
          <t>fi-7160</t>
        </is>
      </c>
      <c r="F89" t="inlineStr">
        <is>
          <t>Shane Henderson</t>
        </is>
      </c>
      <c r="G89" t="inlineStr">
        <is>
          <t>Procurement</t>
        </is>
      </c>
      <c r="H89" t="inlineStr">
        <is>
          <t>HQ-Queens</t>
        </is>
      </c>
      <c r="I89" t="inlineStr">
        <is>
          <t>Queens</t>
        </is>
      </c>
      <c r="J89" s="12" t="n">
        <v>45600</v>
      </c>
      <c r="K89" s="12" t="n">
        <v>45965</v>
      </c>
      <c r="L89" t="inlineStr">
        <is>
          <t>Assigned</t>
        </is>
      </c>
      <c r="M89" t="inlineStr">
        <is>
          <t>Fair</t>
        </is>
      </c>
      <c r="N89" s="12" t="n">
        <v>46184</v>
      </c>
      <c r="O89" t="inlineStr">
        <is>
          <t>Assigned</t>
        </is>
      </c>
      <c r="P89" t="inlineStr"/>
    </row>
    <row r="90">
      <c r="A90" t="inlineStr">
        <is>
          <t>LAP-00088</t>
        </is>
      </c>
      <c r="B90" t="inlineStr">
        <is>
          <t>DEL13003250</t>
        </is>
      </c>
      <c r="C90" t="inlineStr">
        <is>
          <t>Laptop</t>
        </is>
      </c>
      <c r="D90" t="inlineStr">
        <is>
          <t>Dell</t>
        </is>
      </c>
      <c r="E90" t="inlineStr">
        <is>
          <t>Latitude 5540</t>
        </is>
      </c>
      <c r="F90" t="inlineStr">
        <is>
          <t>Joshua Blair</t>
        </is>
      </c>
      <c r="G90" t="inlineStr">
        <is>
          <t>Finance</t>
        </is>
      </c>
      <c r="H90" t="inlineStr">
        <is>
          <t>Store-Queens</t>
        </is>
      </c>
      <c r="I90" t="inlineStr">
        <is>
          <t>Queens</t>
        </is>
      </c>
      <c r="J90" s="12" t="n">
        <v>44526</v>
      </c>
      <c r="K90" s="12" t="n">
        <v>45621</v>
      </c>
      <c r="L90" t="inlineStr">
        <is>
          <t>Assigned</t>
        </is>
      </c>
      <c r="M90" t="inlineStr">
        <is>
          <t>Good</t>
        </is>
      </c>
      <c r="N90" s="12" t="n">
        <v>46184</v>
      </c>
      <c r="O90" t="inlineStr">
        <is>
          <t>Assigned</t>
        </is>
      </c>
      <c r="P90" t="inlineStr"/>
    </row>
    <row r="91">
      <c r="A91" t="inlineStr">
        <is>
          <t>DSK-00089</t>
        </is>
      </c>
      <c r="B91" t="inlineStr">
        <is>
          <t>HP89975592</t>
        </is>
      </c>
      <c r="C91" t="inlineStr">
        <is>
          <t>Desktop</t>
        </is>
      </c>
      <c r="D91" t="inlineStr">
        <is>
          <t>HP</t>
        </is>
      </c>
      <c r="E91" t="inlineStr">
        <is>
          <t>ProDesk 400 G9</t>
        </is>
      </c>
      <c r="F91" t="inlineStr">
        <is>
          <t>Eric Carney</t>
        </is>
      </c>
      <c r="G91" t="inlineStr">
        <is>
          <t>Field Support</t>
        </is>
      </c>
      <c r="H91" t="inlineStr">
        <is>
          <t>Store-Brooklyn</t>
        </is>
      </c>
      <c r="I91" t="inlineStr">
        <is>
          <t>Brooklyn</t>
        </is>
      </c>
      <c r="J91" s="12" t="n">
        <v>45014</v>
      </c>
      <c r="K91" s="12" t="n">
        <v>46109</v>
      </c>
      <c r="L91" t="inlineStr">
        <is>
          <t>Assigned</t>
        </is>
      </c>
      <c r="M91" t="inlineStr">
        <is>
          <t>Fair</t>
        </is>
      </c>
      <c r="N91" s="12" t="n">
        <v>46151</v>
      </c>
      <c r="O91" t="inlineStr">
        <is>
          <t>Assigned</t>
        </is>
      </c>
      <c r="P91" t="inlineStr"/>
    </row>
    <row r="92">
      <c r="A92" t="inlineStr">
        <is>
          <t>DSK-00090</t>
        </is>
      </c>
      <c r="B92" t="inlineStr">
        <is>
          <t>HP35972566</t>
        </is>
      </c>
      <c r="C92" t="inlineStr">
        <is>
          <t>Desktop</t>
        </is>
      </c>
      <c r="D92" t="inlineStr">
        <is>
          <t>HP</t>
        </is>
      </c>
      <c r="E92" t="inlineStr">
        <is>
          <t>ProDesk 400 G9</t>
        </is>
      </c>
      <c r="F92" t="inlineStr">
        <is>
          <t>Jessica Holmes</t>
        </is>
      </c>
      <c r="G92" t="inlineStr">
        <is>
          <t>Finance</t>
        </is>
      </c>
      <c r="H92" t="inlineStr">
        <is>
          <t>Store-Stamford</t>
        </is>
      </c>
      <c r="I92" t="inlineStr">
        <is>
          <t>Stamford</t>
        </is>
      </c>
      <c r="J92" s="12" t="n">
        <v>45707</v>
      </c>
      <c r="K92" s="12" t="n">
        <v>46802</v>
      </c>
      <c r="L92" t="inlineStr">
        <is>
          <t>Assigned</t>
        </is>
      </c>
      <c r="M92" t="inlineStr">
        <is>
          <t>Damaged</t>
        </is>
      </c>
      <c r="N92" s="12" t="n">
        <v>46095</v>
      </c>
      <c r="O92" t="inlineStr">
        <is>
          <t>Assigned</t>
        </is>
      </c>
      <c r="P92" t="inlineStr"/>
    </row>
    <row r="93">
      <c r="A93" t="inlineStr">
        <is>
          <t>LAP-00091</t>
        </is>
      </c>
      <c r="B93" t="inlineStr">
        <is>
          <t>DEL38020527</t>
        </is>
      </c>
      <c r="C93" t="inlineStr">
        <is>
          <t>Laptop</t>
        </is>
      </c>
      <c r="D93" t="inlineStr">
        <is>
          <t>Dell</t>
        </is>
      </c>
      <c r="E93" t="inlineStr">
        <is>
          <t>Latitude 5540</t>
        </is>
      </c>
      <c r="F93" t="inlineStr">
        <is>
          <t>Danny Morgan</t>
        </is>
      </c>
      <c r="G93" t="inlineStr">
        <is>
          <t>Customer Service</t>
        </is>
      </c>
      <c r="H93" t="inlineStr">
        <is>
          <t>Store-Bronx</t>
        </is>
      </c>
      <c r="I93" t="inlineStr">
        <is>
          <t>Bronx</t>
        </is>
      </c>
      <c r="J93" s="12" t="n">
        <v>45696</v>
      </c>
      <c r="K93" s="12" t="n">
        <v>46791</v>
      </c>
      <c r="L93" t="inlineStr">
        <is>
          <t>Assigned</t>
        </is>
      </c>
      <c r="M93" t="inlineStr">
        <is>
          <t>Excellent</t>
        </is>
      </c>
      <c r="N93" s="12" t="n">
        <v>46182</v>
      </c>
      <c r="O93" t="inlineStr">
        <is>
          <t>Assigned</t>
        </is>
      </c>
      <c r="P93" t="inlineStr"/>
    </row>
    <row r="94">
      <c r="A94" t="inlineStr">
        <is>
          <t>MOB-00092</t>
        </is>
      </c>
      <c r="B94" t="inlineStr">
        <is>
          <t>APP56286927</t>
        </is>
      </c>
      <c r="C94" t="inlineStr">
        <is>
          <t>Mobile Phone</t>
        </is>
      </c>
      <c r="D94" t="inlineStr">
        <is>
          <t>Apple</t>
        </is>
      </c>
      <c r="E94" t="inlineStr">
        <is>
          <t>iPhone 15</t>
        </is>
      </c>
      <c r="F94" t="inlineStr">
        <is>
          <t>Crystal Robinson</t>
        </is>
      </c>
      <c r="G94" t="inlineStr">
        <is>
          <t>Procurement</t>
        </is>
      </c>
      <c r="H94" t="inlineStr">
        <is>
          <t>Store-Newark</t>
        </is>
      </c>
      <c r="I94" t="inlineStr">
        <is>
          <t>Newark</t>
        </is>
      </c>
      <c r="J94" s="12" t="n">
        <v>45354</v>
      </c>
      <c r="K94" s="12" t="n">
        <v>46449</v>
      </c>
      <c r="L94" t="inlineStr">
        <is>
          <t>Assigned</t>
        </is>
      </c>
      <c r="M94" t="inlineStr">
        <is>
          <t>Damaged</t>
        </is>
      </c>
      <c r="N94" s="12" t="n">
        <v>46085</v>
      </c>
      <c r="O94" t="inlineStr">
        <is>
          <t>Assigned</t>
        </is>
      </c>
      <c r="P94" t="inlineStr"/>
    </row>
    <row r="95">
      <c r="A95" t="inlineStr">
        <is>
          <t>PRT-00093</t>
        </is>
      </c>
      <c r="B95" t="inlineStr">
        <is>
          <t>CAN39759410</t>
        </is>
      </c>
      <c r="C95" t="inlineStr">
        <is>
          <t>Printer</t>
        </is>
      </c>
      <c r="D95" t="inlineStr">
        <is>
          <t>Canon</t>
        </is>
      </c>
      <c r="E95" t="inlineStr">
        <is>
          <t>imageCLASS MF455dw</t>
        </is>
      </c>
      <c r="F95" t="inlineStr">
        <is>
          <t>Mark Perez</t>
        </is>
      </c>
      <c r="G95" t="inlineStr">
        <is>
          <t>Store Operations</t>
        </is>
      </c>
      <c r="H95" t="inlineStr">
        <is>
          <t>DC-PA</t>
        </is>
      </c>
      <c r="I95" t="inlineStr">
        <is>
          <t>Allentown</t>
        </is>
      </c>
      <c r="J95" s="12" t="n">
        <v>45139</v>
      </c>
      <c r="K95" s="12" t="n">
        <v>45504</v>
      </c>
      <c r="L95" t="inlineStr">
        <is>
          <t>Assigned</t>
        </is>
      </c>
      <c r="M95" t="inlineStr">
        <is>
          <t>Fair</t>
        </is>
      </c>
      <c r="N95" s="12" t="n">
        <v>46124</v>
      </c>
      <c r="O95" t="inlineStr">
        <is>
          <t>Assigned</t>
        </is>
      </c>
      <c r="P95" t="inlineStr"/>
    </row>
    <row r="96">
      <c r="A96" t="inlineStr">
        <is>
          <t>NET-00094</t>
        </is>
      </c>
      <c r="B96" t="inlineStr">
        <is>
          <t>UBI50942573</t>
        </is>
      </c>
      <c r="C96" t="inlineStr">
        <is>
          <t>Network Device</t>
        </is>
      </c>
      <c r="D96" t="inlineStr">
        <is>
          <t>Ubiquiti</t>
        </is>
      </c>
      <c r="E96" t="inlineStr">
        <is>
          <t>UniFi AP U6 Pro</t>
        </is>
      </c>
      <c r="F96" t="inlineStr">
        <is>
          <t>Shannon Jones</t>
        </is>
      </c>
      <c r="G96" t="inlineStr">
        <is>
          <t>Procurement</t>
        </is>
      </c>
      <c r="H96" t="inlineStr">
        <is>
          <t>HQ-Queens</t>
        </is>
      </c>
      <c r="I96" t="inlineStr">
        <is>
          <t>Queens</t>
        </is>
      </c>
      <c r="J96" s="12" t="n">
        <v>45936</v>
      </c>
      <c r="K96" s="12" t="n">
        <v>46301</v>
      </c>
      <c r="L96" t="inlineStr">
        <is>
          <t>Assigned</t>
        </is>
      </c>
      <c r="M96" t="inlineStr">
        <is>
          <t>Excellent</t>
        </is>
      </c>
      <c r="N96" s="12" t="n">
        <v>46171</v>
      </c>
      <c r="O96" t="inlineStr">
        <is>
          <t>Assigned</t>
        </is>
      </c>
      <c r="P96" t="inlineStr"/>
    </row>
    <row r="97">
      <c r="A97" t="inlineStr">
        <is>
          <t>LAP-00095</t>
        </is>
      </c>
      <c r="B97" t="inlineStr">
        <is>
          <t>DEL86429343</t>
        </is>
      </c>
      <c r="C97" t="inlineStr">
        <is>
          <t>Laptop</t>
        </is>
      </c>
      <c r="D97" t="inlineStr">
        <is>
          <t>Dell</t>
        </is>
      </c>
      <c r="E97" t="inlineStr">
        <is>
          <t>Latitude 5540</t>
        </is>
      </c>
      <c r="F97" t="inlineStr">
        <is>
          <t>Michael Lewis</t>
        </is>
      </c>
      <c r="G97" t="inlineStr">
        <is>
          <t>Customer Service</t>
        </is>
      </c>
      <c r="H97" t="inlineStr">
        <is>
          <t>DC-NY</t>
        </is>
      </c>
      <c r="I97" t="inlineStr">
        <is>
          <t>Queens</t>
        </is>
      </c>
      <c r="J97" s="12" t="n">
        <v>45921</v>
      </c>
      <c r="K97" s="12" t="n">
        <v>47016</v>
      </c>
      <c r="L97" t="inlineStr">
        <is>
          <t>Assigned</t>
        </is>
      </c>
      <c r="M97" t="inlineStr">
        <is>
          <t>Poor</t>
        </is>
      </c>
      <c r="N97" s="12" t="n">
        <v>46193</v>
      </c>
      <c r="O97" t="inlineStr">
        <is>
          <t>Assigned</t>
        </is>
      </c>
      <c r="P97" t="inlineStr"/>
    </row>
    <row r="98">
      <c r="A98" t="inlineStr">
        <is>
          <t>DSK-00096</t>
        </is>
      </c>
      <c r="B98" t="inlineStr">
        <is>
          <t>DEL10152403</t>
        </is>
      </c>
      <c r="C98" t="inlineStr">
        <is>
          <t>Desktop</t>
        </is>
      </c>
      <c r="D98" t="inlineStr">
        <is>
          <t>Dell</t>
        </is>
      </c>
      <c r="E98" t="inlineStr">
        <is>
          <t>OptiPlex 7010</t>
        </is>
      </c>
      <c r="F98" t="inlineStr">
        <is>
          <t>Timothy Duncan</t>
        </is>
      </c>
      <c r="G98" t="inlineStr">
        <is>
          <t>Store Operations</t>
        </is>
      </c>
      <c r="H98" t="inlineStr">
        <is>
          <t>Store-Queens</t>
        </is>
      </c>
      <c r="I98" t="inlineStr">
        <is>
          <t>Queens</t>
        </is>
      </c>
      <c r="J98" s="12" t="n">
        <v>46112</v>
      </c>
      <c r="K98" s="12" t="n">
        <v>47207</v>
      </c>
      <c r="L98" t="inlineStr">
        <is>
          <t>Assigned</t>
        </is>
      </c>
      <c r="M98" t="inlineStr">
        <is>
          <t>Fair</t>
        </is>
      </c>
      <c r="N98" s="12" t="n">
        <v>46100</v>
      </c>
      <c r="O98" t="inlineStr">
        <is>
          <t>Assigned</t>
        </is>
      </c>
      <c r="P98" t="inlineStr"/>
    </row>
    <row r="99">
      <c r="A99" t="inlineStr">
        <is>
          <t>PRT-00097</t>
        </is>
      </c>
      <c r="B99" t="inlineStr">
        <is>
          <t>HP23529486</t>
        </is>
      </c>
      <c r="C99" t="inlineStr">
        <is>
          <t>Printer</t>
        </is>
      </c>
      <c r="D99" t="inlineStr">
        <is>
          <t>HP</t>
        </is>
      </c>
      <c r="E99" t="inlineStr">
        <is>
          <t>LaserJet Pro M404dn</t>
        </is>
      </c>
      <c r="F99" t="inlineStr"/>
      <c r="G99" t="inlineStr">
        <is>
          <t>HR</t>
        </is>
      </c>
      <c r="H99" t="inlineStr">
        <is>
          <t>Store-Brooklyn</t>
        </is>
      </c>
      <c r="I99" t="inlineStr">
        <is>
          <t>Brooklyn</t>
        </is>
      </c>
      <c r="J99" s="12" t="n">
        <v>44760</v>
      </c>
      <c r="K99" s="12" t="n">
        <v>45125</v>
      </c>
      <c r="L99" t="inlineStr">
        <is>
          <t>Returned</t>
        </is>
      </c>
      <c r="M99" t="inlineStr">
        <is>
          <t>Fair</t>
        </is>
      </c>
      <c r="N99" s="12" t="n">
        <v>46170</v>
      </c>
      <c r="O99" t="inlineStr">
        <is>
          <t>Returned</t>
        </is>
      </c>
      <c r="P99" t="inlineStr">
        <is>
          <t>Auto-generated record — status Returned.</t>
        </is>
      </c>
    </row>
    <row r="100">
      <c r="A100" t="inlineStr">
        <is>
          <t>DSK-00098</t>
        </is>
      </c>
      <c r="B100" t="inlineStr">
        <is>
          <t>HP44871160</t>
        </is>
      </c>
      <c r="C100" t="inlineStr">
        <is>
          <t>Desktop</t>
        </is>
      </c>
      <c r="D100" t="inlineStr">
        <is>
          <t>HP</t>
        </is>
      </c>
      <c r="E100" t="inlineStr">
        <is>
          <t>ProDesk 400 G9</t>
        </is>
      </c>
      <c r="F100" t="inlineStr">
        <is>
          <t>Richard Aguirre</t>
        </is>
      </c>
      <c r="G100" t="inlineStr">
        <is>
          <t>Procurement</t>
        </is>
      </c>
      <c r="H100" t="inlineStr">
        <is>
          <t>DC-PA</t>
        </is>
      </c>
      <c r="I100" t="inlineStr">
        <is>
          <t>Allentown</t>
        </is>
      </c>
      <c r="J100" s="12" t="n">
        <v>45541</v>
      </c>
      <c r="K100" s="12" t="n">
        <v>46636</v>
      </c>
      <c r="L100" t="inlineStr">
        <is>
          <t>Missing</t>
        </is>
      </c>
      <c r="M100" t="inlineStr">
        <is>
          <t>Fair</t>
        </is>
      </c>
      <c r="N100" s="12" t="n">
        <v>46194</v>
      </c>
      <c r="O100" t="inlineStr">
        <is>
          <t>Assigned</t>
        </is>
      </c>
      <c r="P100" t="inlineStr">
        <is>
          <t>Auto-generated record — status Missing.</t>
        </is>
      </c>
    </row>
    <row r="101">
      <c r="A101" t="inlineStr">
        <is>
          <t>DSK-00099</t>
        </is>
      </c>
      <c r="B101" t="inlineStr">
        <is>
          <t>HP80117642</t>
        </is>
      </c>
      <c r="C101" t="inlineStr">
        <is>
          <t>Desktop</t>
        </is>
      </c>
      <c r="D101" t="inlineStr">
        <is>
          <t>HP</t>
        </is>
      </c>
      <c r="E101" t="inlineStr">
        <is>
          <t>ProDesk 400 G9</t>
        </is>
      </c>
      <c r="F101" t="inlineStr">
        <is>
          <t>Brent Jordan</t>
        </is>
      </c>
      <c r="G101" t="inlineStr">
        <is>
          <t>IT</t>
        </is>
      </c>
      <c r="H101" t="inlineStr">
        <is>
          <t>DC-NJ</t>
        </is>
      </c>
      <c r="I101" t="inlineStr">
        <is>
          <t>Newark</t>
        </is>
      </c>
      <c r="J101" s="12" t="n">
        <v>44520</v>
      </c>
      <c r="K101" s="12" t="n">
        <v>45615</v>
      </c>
      <c r="L101" t="inlineStr">
        <is>
          <t>Assigned</t>
        </is>
      </c>
      <c r="M101" t="inlineStr">
        <is>
          <t>Damaged</t>
        </is>
      </c>
      <c r="N101" s="12" t="n">
        <v>46178</v>
      </c>
      <c r="O101" t="inlineStr">
        <is>
          <t>Assigned</t>
        </is>
      </c>
      <c r="P101" t="inlineStr"/>
    </row>
    <row r="102">
      <c r="A102" t="inlineStr">
        <is>
          <t>LAP-00100</t>
        </is>
      </c>
      <c r="B102" t="inlineStr">
        <is>
          <t>LEN28564187</t>
        </is>
      </c>
      <c r="C102" t="inlineStr">
        <is>
          <t>Laptop</t>
        </is>
      </c>
      <c r="D102" t="inlineStr">
        <is>
          <t>Lenovo</t>
        </is>
      </c>
      <c r="E102" t="inlineStr">
        <is>
          <t>ThinkPad T14</t>
        </is>
      </c>
      <c r="F102" t="inlineStr"/>
      <c r="G102" t="inlineStr">
        <is>
          <t>Store Operations</t>
        </is>
      </c>
      <c r="H102" t="inlineStr">
        <is>
          <t>Store-Manhattan</t>
        </is>
      </c>
      <c r="I102" t="inlineStr">
        <is>
          <t>Manhattan</t>
        </is>
      </c>
      <c r="J102" s="12" t="n">
        <v>45091</v>
      </c>
      <c r="K102" s="12" t="n">
        <v>46186</v>
      </c>
      <c r="L102" t="inlineStr">
        <is>
          <t>Returned</t>
        </is>
      </c>
      <c r="M102" t="inlineStr">
        <is>
          <t>Fair</t>
        </is>
      </c>
      <c r="N102" s="12" t="n">
        <v>46199</v>
      </c>
      <c r="O102" t="inlineStr">
        <is>
          <t>Returned</t>
        </is>
      </c>
      <c r="P102" t="inlineStr">
        <is>
          <t>Auto-generated record — status Returned.</t>
        </is>
      </c>
    </row>
    <row r="103">
      <c r="A103" t="inlineStr">
        <is>
          <t>NET-00101</t>
        </is>
      </c>
      <c r="B103" t="inlineStr">
        <is>
          <t>UBI96990378</t>
        </is>
      </c>
      <c r="C103" t="inlineStr">
        <is>
          <t>Network Device</t>
        </is>
      </c>
      <c r="D103" t="inlineStr">
        <is>
          <t>Ubiquiti</t>
        </is>
      </c>
      <c r="E103" t="inlineStr">
        <is>
          <t>UniFi AP U6 Pro</t>
        </is>
      </c>
      <c r="F103" t="inlineStr"/>
      <c r="G103" t="inlineStr">
        <is>
          <t>Warehouse</t>
        </is>
      </c>
      <c r="H103" t="inlineStr">
        <is>
          <t>Store-Stamford</t>
        </is>
      </c>
      <c r="I103" t="inlineStr">
        <is>
          <t>Stamford</t>
        </is>
      </c>
      <c r="J103" s="12" t="n">
        <v>45673</v>
      </c>
      <c r="K103" s="12" t="n">
        <v>46038</v>
      </c>
      <c r="L103" t="inlineStr">
        <is>
          <t>Retired</t>
        </is>
      </c>
      <c r="M103" t="inlineStr">
        <is>
          <t>Fair</t>
        </is>
      </c>
      <c r="N103" s="12" t="n">
        <v>46147</v>
      </c>
      <c r="O103" t="inlineStr">
        <is>
          <t>Retired</t>
        </is>
      </c>
      <c r="P103" t="inlineStr">
        <is>
          <t>Auto-generated record — status Retired.</t>
        </is>
      </c>
    </row>
    <row r="104">
      <c r="A104" t="inlineStr">
        <is>
          <t>LAP-00102</t>
        </is>
      </c>
      <c r="B104" t="inlineStr">
        <is>
          <t>HP54638080</t>
        </is>
      </c>
      <c r="C104" t="inlineStr">
        <is>
          <t>Laptop</t>
        </is>
      </c>
      <c r="D104" t="inlineStr">
        <is>
          <t>HP</t>
        </is>
      </c>
      <c r="E104" t="inlineStr">
        <is>
          <t>EliteBook 840 G10</t>
        </is>
      </c>
      <c r="F104" t="inlineStr"/>
      <c r="G104" t="inlineStr">
        <is>
          <t>HR</t>
        </is>
      </c>
      <c r="H104" t="inlineStr">
        <is>
          <t>Store-Bronx</t>
        </is>
      </c>
      <c r="I104" t="inlineStr">
        <is>
          <t>Bronx</t>
        </is>
      </c>
      <c r="J104" s="12" t="n">
        <v>44728</v>
      </c>
      <c r="K104" s="12" t="n">
        <v>45823</v>
      </c>
      <c r="L104" t="inlineStr">
        <is>
          <t>In Stock</t>
        </is>
      </c>
      <c r="M104" t="inlineStr">
        <is>
          <t>Good</t>
        </is>
      </c>
      <c r="N104" s="12" t="n">
        <v>46175</v>
      </c>
      <c r="O104" t="inlineStr">
        <is>
          <t>In Stock</t>
        </is>
      </c>
      <c r="P104" t="inlineStr">
        <is>
          <t>Auto-generated record — status In Stock.</t>
        </is>
      </c>
    </row>
    <row r="105">
      <c r="A105" t="inlineStr">
        <is>
          <t>MON-00103</t>
        </is>
      </c>
      <c r="B105" t="inlineStr">
        <is>
          <t>DEL87378318</t>
        </is>
      </c>
      <c r="C105" t="inlineStr">
        <is>
          <t>Monitor</t>
        </is>
      </c>
      <c r="D105" t="inlineStr">
        <is>
          <t>Dell</t>
        </is>
      </c>
      <c r="E105" t="inlineStr">
        <is>
          <t>UltraSharp U2723QE</t>
        </is>
      </c>
      <c r="F105" t="inlineStr">
        <is>
          <t>John Daniel</t>
        </is>
      </c>
      <c r="G105" t="inlineStr">
        <is>
          <t>Finance</t>
        </is>
      </c>
      <c r="H105" t="inlineStr">
        <is>
          <t>Store-Queens</t>
        </is>
      </c>
      <c r="I105" t="inlineStr">
        <is>
          <t>Queens</t>
        </is>
      </c>
      <c r="J105" s="12" t="n">
        <v>46081</v>
      </c>
      <c r="K105" s="12" t="n">
        <v>46446</v>
      </c>
      <c r="L105" t="inlineStr">
        <is>
          <t>Assigned</t>
        </is>
      </c>
      <c r="M105" t="inlineStr">
        <is>
          <t>Poor</t>
        </is>
      </c>
      <c r="N105" s="12" t="n">
        <v>46116</v>
      </c>
      <c r="O105" t="inlineStr">
        <is>
          <t>Assigned</t>
        </is>
      </c>
      <c r="P105" t="inlineStr"/>
    </row>
    <row r="106">
      <c r="A106" t="inlineStr">
        <is>
          <t>LAP-00104</t>
        </is>
      </c>
      <c r="B106" t="inlineStr">
        <is>
          <t>HP01751920</t>
        </is>
      </c>
      <c r="C106" t="inlineStr">
        <is>
          <t>Laptop</t>
        </is>
      </c>
      <c r="D106" t="inlineStr">
        <is>
          <t>HP</t>
        </is>
      </c>
      <c r="E106" t="inlineStr">
        <is>
          <t>EliteBook 840 G10</t>
        </is>
      </c>
      <c r="F106" t="inlineStr">
        <is>
          <t>Victoria Garcia</t>
        </is>
      </c>
      <c r="G106" t="inlineStr">
        <is>
          <t>Store Operations</t>
        </is>
      </c>
      <c r="H106" t="inlineStr">
        <is>
          <t>Store-WhitePlains</t>
        </is>
      </c>
      <c r="I106" t="inlineStr">
        <is>
          <t>Westchester</t>
        </is>
      </c>
      <c r="J106" s="12" t="n">
        <v>45896</v>
      </c>
      <c r="K106" s="12" t="n">
        <v>46991</v>
      </c>
      <c r="L106" t="inlineStr">
        <is>
          <t>Assigned</t>
        </is>
      </c>
      <c r="M106" t="inlineStr">
        <is>
          <t>Poor</t>
        </is>
      </c>
      <c r="N106" s="12" t="n">
        <v>46120</v>
      </c>
      <c r="O106" t="inlineStr">
        <is>
          <t>Assigned</t>
        </is>
      </c>
      <c r="P106" t="inlineStr"/>
    </row>
    <row r="107">
      <c r="A107" t="inlineStr">
        <is>
          <t>NET-00105</t>
        </is>
      </c>
      <c r="B107" t="inlineStr">
        <is>
          <t>CIS58084516</t>
        </is>
      </c>
      <c r="C107" t="inlineStr">
        <is>
          <t>Network Device</t>
        </is>
      </c>
      <c r="D107" t="inlineStr">
        <is>
          <t>Cisco</t>
        </is>
      </c>
      <c r="E107" t="inlineStr">
        <is>
          <t>Meraki MR46</t>
        </is>
      </c>
      <c r="F107" t="inlineStr"/>
      <c r="G107" t="inlineStr">
        <is>
          <t>HR</t>
        </is>
      </c>
      <c r="H107" t="inlineStr">
        <is>
          <t>DC-NY</t>
        </is>
      </c>
      <c r="I107" t="inlineStr">
        <is>
          <t>Queens</t>
        </is>
      </c>
      <c r="J107" s="12" t="n">
        <v>44391</v>
      </c>
      <c r="K107" s="12" t="n">
        <v>44756</v>
      </c>
      <c r="L107" t="inlineStr">
        <is>
          <t>In Stock</t>
        </is>
      </c>
      <c r="M107" t="inlineStr">
        <is>
          <t>Good</t>
        </is>
      </c>
      <c r="N107" s="12" t="n">
        <v>46185</v>
      </c>
      <c r="O107" t="inlineStr">
        <is>
          <t>In Stock</t>
        </is>
      </c>
      <c r="P107" t="inlineStr">
        <is>
          <t>Auto-generated record — status In Stock.</t>
        </is>
      </c>
    </row>
    <row r="108">
      <c r="A108" t="inlineStr">
        <is>
          <t>LAP-00106</t>
        </is>
      </c>
      <c r="B108" t="inlineStr">
        <is>
          <t>HP36981005</t>
        </is>
      </c>
      <c r="C108" t="inlineStr">
        <is>
          <t>Laptop</t>
        </is>
      </c>
      <c r="D108" t="inlineStr">
        <is>
          <t>HP</t>
        </is>
      </c>
      <c r="E108" t="inlineStr">
        <is>
          <t>EliteBook 840 G10</t>
        </is>
      </c>
      <c r="F108" t="inlineStr"/>
      <c r="G108" t="inlineStr">
        <is>
          <t>Procurement</t>
        </is>
      </c>
      <c r="H108" t="inlineStr">
        <is>
          <t>Store-Bronx</t>
        </is>
      </c>
      <c r="I108" t="inlineStr">
        <is>
          <t>Bronx</t>
        </is>
      </c>
      <c r="J108" s="12" t="n">
        <v>46027</v>
      </c>
      <c r="K108" s="12" t="n">
        <v>47122</v>
      </c>
      <c r="L108" t="inlineStr">
        <is>
          <t>In Stock</t>
        </is>
      </c>
      <c r="M108" t="inlineStr">
        <is>
          <t>Excellent</t>
        </is>
      </c>
      <c r="N108" s="12" t="n">
        <v>46166</v>
      </c>
      <c r="O108" t="inlineStr">
        <is>
          <t>In Stock</t>
        </is>
      </c>
      <c r="P108" t="inlineStr">
        <is>
          <t>Auto-generated record — status In Stock.</t>
        </is>
      </c>
    </row>
    <row r="109">
      <c r="A109" t="inlineStr">
        <is>
          <t>LAP-00107</t>
        </is>
      </c>
      <c r="B109" t="inlineStr">
        <is>
          <t>HP15537657</t>
        </is>
      </c>
      <c r="C109" t="inlineStr">
        <is>
          <t>Laptop</t>
        </is>
      </c>
      <c r="D109" t="inlineStr">
        <is>
          <t>HP</t>
        </is>
      </c>
      <c r="E109" t="inlineStr">
        <is>
          <t>EliteBook 840 G10</t>
        </is>
      </c>
      <c r="F109" t="inlineStr">
        <is>
          <t>Gerald Hensley</t>
        </is>
      </c>
      <c r="G109" t="inlineStr">
        <is>
          <t>Customer Service</t>
        </is>
      </c>
      <c r="H109" t="inlineStr">
        <is>
          <t>DC-PA</t>
        </is>
      </c>
      <c r="I109" t="inlineStr">
        <is>
          <t>Allentown</t>
        </is>
      </c>
      <c r="J109" s="12" t="n">
        <v>44598</v>
      </c>
      <c r="K109" s="12" t="n">
        <v>45693</v>
      </c>
      <c r="L109" t="inlineStr">
        <is>
          <t>Assigned</t>
        </is>
      </c>
      <c r="M109" t="inlineStr">
        <is>
          <t>Poor</t>
        </is>
      </c>
      <c r="N109" s="12" t="n">
        <v>46129</v>
      </c>
      <c r="O109" t="inlineStr">
        <is>
          <t>Assigned</t>
        </is>
      </c>
      <c r="P109" t="inlineStr"/>
    </row>
    <row r="110">
      <c r="A110" t="inlineStr">
        <is>
          <t>MON-00108</t>
        </is>
      </c>
      <c r="B110" t="inlineStr">
        <is>
          <t>DEL95900735</t>
        </is>
      </c>
      <c r="C110" t="inlineStr">
        <is>
          <t>Monitor</t>
        </is>
      </c>
      <c r="D110" t="inlineStr">
        <is>
          <t>Dell</t>
        </is>
      </c>
      <c r="E110" t="inlineStr">
        <is>
          <t>UltraSharp U2723QE</t>
        </is>
      </c>
      <c r="F110" t="inlineStr"/>
      <c r="G110" t="inlineStr">
        <is>
          <t>Warehouse</t>
        </is>
      </c>
      <c r="H110" t="inlineStr">
        <is>
          <t>Store-Manhattan</t>
        </is>
      </c>
      <c r="I110" t="inlineStr">
        <is>
          <t>Manhattan</t>
        </is>
      </c>
      <c r="J110" s="12" t="n">
        <v>44799</v>
      </c>
      <c r="K110" s="12" t="n">
        <v>45164</v>
      </c>
      <c r="L110" t="inlineStr">
        <is>
          <t>Disposed</t>
        </is>
      </c>
      <c r="M110" t="inlineStr">
        <is>
          <t>Excellent</t>
        </is>
      </c>
      <c r="N110" s="12" t="n">
        <v>46151</v>
      </c>
      <c r="O110" t="inlineStr">
        <is>
          <t>Disposed</t>
        </is>
      </c>
      <c r="P110" t="inlineStr">
        <is>
          <t>Auto-generated record — status Disposed.</t>
        </is>
      </c>
    </row>
    <row r="111">
      <c r="A111" t="inlineStr">
        <is>
          <t>PRT-00109</t>
        </is>
      </c>
      <c r="B111" t="inlineStr">
        <is>
          <t>HP16413921</t>
        </is>
      </c>
      <c r="C111" t="inlineStr">
        <is>
          <t>Printer</t>
        </is>
      </c>
      <c r="D111" t="inlineStr">
        <is>
          <t>HP</t>
        </is>
      </c>
      <c r="E111" t="inlineStr">
        <is>
          <t>LaserJet Pro M404dn</t>
        </is>
      </c>
      <c r="F111" t="inlineStr"/>
      <c r="G111" t="inlineStr">
        <is>
          <t>Field Support</t>
        </is>
      </c>
      <c r="H111" t="inlineStr">
        <is>
          <t>Store-Queens</t>
        </is>
      </c>
      <c r="I111" t="inlineStr">
        <is>
          <t>Queens</t>
        </is>
      </c>
      <c r="J111" s="12" t="n">
        <v>45951</v>
      </c>
      <c r="K111" s="12" t="n">
        <v>46316</v>
      </c>
      <c r="L111" t="inlineStr">
        <is>
          <t>Retired</t>
        </is>
      </c>
      <c r="M111" t="inlineStr">
        <is>
          <t>Poor</t>
        </is>
      </c>
      <c r="N111" s="12" t="n">
        <v>46154</v>
      </c>
      <c r="O111" t="inlineStr">
        <is>
          <t>Retired</t>
        </is>
      </c>
      <c r="P111" t="inlineStr">
        <is>
          <t>Auto-generated record — status Retired.</t>
        </is>
      </c>
    </row>
    <row r="112">
      <c r="A112" t="inlineStr">
        <is>
          <t>MOB-00110</t>
        </is>
      </c>
      <c r="B112" t="inlineStr">
        <is>
          <t>SAM34876863</t>
        </is>
      </c>
      <c r="C112" t="inlineStr">
        <is>
          <t>Mobile Phone</t>
        </is>
      </c>
      <c r="D112" t="inlineStr">
        <is>
          <t>Samsung</t>
        </is>
      </c>
      <c r="E112" t="inlineStr">
        <is>
          <t>Galaxy S24</t>
        </is>
      </c>
      <c r="F112" t="inlineStr"/>
      <c r="G112" t="inlineStr">
        <is>
          <t>Field Support</t>
        </is>
      </c>
      <c r="H112" t="inlineStr">
        <is>
          <t>DC-PA</t>
        </is>
      </c>
      <c r="I112" t="inlineStr">
        <is>
          <t>Allentown</t>
        </is>
      </c>
      <c r="J112" s="12" t="n">
        <v>44624</v>
      </c>
      <c r="K112" s="12" t="n">
        <v>45719</v>
      </c>
      <c r="L112" t="inlineStr">
        <is>
          <t>Retired</t>
        </is>
      </c>
      <c r="M112" t="inlineStr">
        <is>
          <t>Good</t>
        </is>
      </c>
      <c r="N112" s="12" t="n">
        <v>46175</v>
      </c>
      <c r="O112" t="inlineStr">
        <is>
          <t>Retired</t>
        </is>
      </c>
      <c r="P112" t="inlineStr">
        <is>
          <t>Auto-generated record — status Retired.</t>
        </is>
      </c>
    </row>
    <row r="113">
      <c r="A113" t="inlineStr">
        <is>
          <t>PRT-00111</t>
        </is>
      </c>
      <c r="B113" t="inlineStr">
        <is>
          <t>HP95417968</t>
        </is>
      </c>
      <c r="C113" t="inlineStr">
        <is>
          <t>Printer</t>
        </is>
      </c>
      <c r="D113" t="inlineStr">
        <is>
          <t>HP</t>
        </is>
      </c>
      <c r="E113" t="inlineStr">
        <is>
          <t>LaserJet Pro M404dn</t>
        </is>
      </c>
      <c r="F113" t="inlineStr">
        <is>
          <t>Connor West</t>
        </is>
      </c>
      <c r="G113" t="inlineStr">
        <is>
          <t>IT</t>
        </is>
      </c>
      <c r="H113" t="inlineStr">
        <is>
          <t>Store-Manhattan</t>
        </is>
      </c>
      <c r="I113" t="inlineStr">
        <is>
          <t>Manhattan</t>
        </is>
      </c>
      <c r="J113" s="12" t="n">
        <v>44828</v>
      </c>
      <c r="K113" s="12" t="n">
        <v>45193</v>
      </c>
      <c r="L113" t="inlineStr">
        <is>
          <t>In Repair</t>
        </is>
      </c>
      <c r="M113" t="inlineStr">
        <is>
          <t>Fair</t>
        </is>
      </c>
      <c r="N113" s="12" t="n">
        <v>46109</v>
      </c>
      <c r="O113" t="inlineStr">
        <is>
          <t>In Repair</t>
        </is>
      </c>
      <c r="P113" t="inlineStr">
        <is>
          <t>Auto-generated record — status In Repair.</t>
        </is>
      </c>
    </row>
    <row r="114">
      <c r="A114" t="inlineStr">
        <is>
          <t>NET-00112</t>
        </is>
      </c>
      <c r="B114" t="inlineStr">
        <is>
          <t>CIS40299387</t>
        </is>
      </c>
      <c r="C114" t="inlineStr">
        <is>
          <t>Network Device</t>
        </is>
      </c>
      <c r="D114" t="inlineStr">
        <is>
          <t>Cisco</t>
        </is>
      </c>
      <c r="E114" t="inlineStr">
        <is>
          <t>Meraki MR46</t>
        </is>
      </c>
      <c r="F114" t="inlineStr">
        <is>
          <t>Donald Wright</t>
        </is>
      </c>
      <c r="G114" t="inlineStr">
        <is>
          <t>HR</t>
        </is>
      </c>
      <c r="H114" t="inlineStr">
        <is>
          <t>Store-Newark</t>
        </is>
      </c>
      <c r="I114" t="inlineStr">
        <is>
          <t>Newark</t>
        </is>
      </c>
      <c r="J114" s="12" t="n">
        <v>45941</v>
      </c>
      <c r="K114" s="12" t="n">
        <v>46306</v>
      </c>
      <c r="L114" t="inlineStr">
        <is>
          <t>Assigned</t>
        </is>
      </c>
      <c r="M114" t="inlineStr">
        <is>
          <t>Fair</t>
        </is>
      </c>
      <c r="N114" s="12" t="n">
        <v>46114</v>
      </c>
      <c r="O114" t="inlineStr">
        <is>
          <t>Assigned</t>
        </is>
      </c>
      <c r="P114" t="inlineStr"/>
    </row>
    <row r="115">
      <c r="A115" t="inlineStr">
        <is>
          <t>NET-00113</t>
        </is>
      </c>
      <c r="B115" t="inlineStr">
        <is>
          <t>UBI55340659</t>
        </is>
      </c>
      <c r="C115" t="inlineStr">
        <is>
          <t>Network Device</t>
        </is>
      </c>
      <c r="D115" t="inlineStr">
        <is>
          <t>Ubiquiti</t>
        </is>
      </c>
      <c r="E115" t="inlineStr">
        <is>
          <t>UniFi AP U6 Pro</t>
        </is>
      </c>
      <c r="F115" t="inlineStr">
        <is>
          <t>Jessica Callahan</t>
        </is>
      </c>
      <c r="G115" t="inlineStr">
        <is>
          <t>Procurement</t>
        </is>
      </c>
      <c r="H115" t="inlineStr">
        <is>
          <t>Store-Stamford</t>
        </is>
      </c>
      <c r="I115" t="inlineStr">
        <is>
          <t>Stamford</t>
        </is>
      </c>
      <c r="J115" s="12" t="n">
        <v>45430</v>
      </c>
      <c r="K115" s="12" t="n">
        <v>45795</v>
      </c>
      <c r="L115" t="inlineStr">
        <is>
          <t>Assigned</t>
        </is>
      </c>
      <c r="M115" t="inlineStr">
        <is>
          <t>Good</t>
        </is>
      </c>
      <c r="N115" s="12" t="n">
        <v>46129</v>
      </c>
      <c r="O115" t="inlineStr">
        <is>
          <t>Assigned</t>
        </is>
      </c>
      <c r="P115" t="inlineStr"/>
    </row>
    <row r="116">
      <c r="A116" t="inlineStr">
        <is>
          <t>SCN-00114</t>
        </is>
      </c>
      <c r="B116" t="inlineStr">
        <is>
          <t>FUJ71313603</t>
        </is>
      </c>
      <c r="C116" t="inlineStr">
        <is>
          <t>Scanner</t>
        </is>
      </c>
      <c r="D116" t="inlineStr">
        <is>
          <t>Fujitsu</t>
        </is>
      </c>
      <c r="E116" t="inlineStr">
        <is>
          <t>fi-7160</t>
        </is>
      </c>
      <c r="F116" t="inlineStr">
        <is>
          <t>Amber Kidd</t>
        </is>
      </c>
      <c r="G116" t="inlineStr">
        <is>
          <t>IT</t>
        </is>
      </c>
      <c r="H116" t="inlineStr">
        <is>
          <t>Store-Brooklyn</t>
        </is>
      </c>
      <c r="I116" t="inlineStr">
        <is>
          <t>Brooklyn</t>
        </is>
      </c>
      <c r="J116" s="12" t="n">
        <v>45773</v>
      </c>
      <c r="K116" s="12" t="n">
        <v>46138</v>
      </c>
      <c r="L116" t="inlineStr">
        <is>
          <t>Assigned</t>
        </is>
      </c>
      <c r="M116" t="inlineStr">
        <is>
          <t>Good</t>
        </is>
      </c>
      <c r="N116" s="12" t="n">
        <v>46154</v>
      </c>
      <c r="O116" t="inlineStr">
        <is>
          <t>Assigned</t>
        </is>
      </c>
      <c r="P116" t="inlineStr"/>
    </row>
    <row r="117">
      <c r="A117" t="inlineStr">
        <is>
          <t>LAP-00115</t>
        </is>
      </c>
      <c r="B117" t="inlineStr">
        <is>
          <t>DEL58324291</t>
        </is>
      </c>
      <c r="C117" t="inlineStr">
        <is>
          <t>Laptop</t>
        </is>
      </c>
      <c r="D117" t="inlineStr">
        <is>
          <t>Dell</t>
        </is>
      </c>
      <c r="E117" t="inlineStr">
        <is>
          <t>Latitude 5540</t>
        </is>
      </c>
      <c r="F117" t="inlineStr">
        <is>
          <t>Tracy House</t>
        </is>
      </c>
      <c r="G117" t="inlineStr">
        <is>
          <t>Procurement</t>
        </is>
      </c>
      <c r="H117" t="inlineStr">
        <is>
          <t>HQ-Queens</t>
        </is>
      </c>
      <c r="I117" t="inlineStr">
        <is>
          <t>Queens</t>
        </is>
      </c>
      <c r="J117" s="12" t="n">
        <v>45692</v>
      </c>
      <c r="K117" s="12" t="n">
        <v>46787</v>
      </c>
      <c r="L117" t="inlineStr">
        <is>
          <t>Assigned</t>
        </is>
      </c>
      <c r="M117" t="inlineStr">
        <is>
          <t>Fair</t>
        </is>
      </c>
      <c r="N117" s="12" t="n">
        <v>46113</v>
      </c>
      <c r="O117" t="inlineStr">
        <is>
          <t>Assigned</t>
        </is>
      </c>
      <c r="P117" t="inlineStr"/>
    </row>
    <row r="118">
      <c r="A118" t="inlineStr">
        <is>
          <t>PRT-00116</t>
        </is>
      </c>
      <c r="B118" t="inlineStr">
        <is>
          <t>CAN04092664</t>
        </is>
      </c>
      <c r="C118" t="inlineStr">
        <is>
          <t>Printer</t>
        </is>
      </c>
      <c r="D118" t="inlineStr">
        <is>
          <t>Canon</t>
        </is>
      </c>
      <c r="E118" t="inlineStr">
        <is>
          <t>imageCLASS MF455dw</t>
        </is>
      </c>
      <c r="F118" t="inlineStr">
        <is>
          <t>Carol Tucker</t>
        </is>
      </c>
      <c r="G118" t="inlineStr">
        <is>
          <t>IT</t>
        </is>
      </c>
      <c r="H118" t="inlineStr">
        <is>
          <t>Store-Manhattan</t>
        </is>
      </c>
      <c r="I118" t="inlineStr">
        <is>
          <t>Manhattan</t>
        </is>
      </c>
      <c r="J118" s="12" t="n">
        <v>45302</v>
      </c>
      <c r="K118" s="12" t="n">
        <v>45667</v>
      </c>
      <c r="L118" t="inlineStr">
        <is>
          <t>Assigned</t>
        </is>
      </c>
      <c r="M118" t="inlineStr">
        <is>
          <t>Excellent</t>
        </is>
      </c>
      <c r="N118" s="12" t="n">
        <v>46194</v>
      </c>
      <c r="O118" t="inlineStr">
        <is>
          <t>Assigned</t>
        </is>
      </c>
      <c r="P118" t="inlineStr"/>
    </row>
    <row r="119">
      <c r="A119" t="inlineStr">
        <is>
          <t>NET-00117</t>
        </is>
      </c>
      <c r="B119" t="inlineStr">
        <is>
          <t>CIS38791969</t>
        </is>
      </c>
      <c r="C119" t="inlineStr">
        <is>
          <t>Network Device</t>
        </is>
      </c>
      <c r="D119" t="inlineStr">
        <is>
          <t>Cisco</t>
        </is>
      </c>
      <c r="E119" t="inlineStr">
        <is>
          <t>Meraki MR46</t>
        </is>
      </c>
      <c r="F119" t="inlineStr">
        <is>
          <t>James Brown</t>
        </is>
      </c>
      <c r="G119" t="inlineStr">
        <is>
          <t>Store Operations</t>
        </is>
      </c>
      <c r="H119" t="inlineStr">
        <is>
          <t>DC-NJ</t>
        </is>
      </c>
      <c r="I119" t="inlineStr">
        <is>
          <t>Newark</t>
        </is>
      </c>
      <c r="J119" s="12" t="n">
        <v>45677</v>
      </c>
      <c r="K119" s="12" t="n">
        <v>46042</v>
      </c>
      <c r="L119" t="inlineStr">
        <is>
          <t>Assigned</t>
        </is>
      </c>
      <c r="M119" t="inlineStr">
        <is>
          <t>Good</t>
        </is>
      </c>
      <c r="N119" s="12" t="n">
        <v>46112</v>
      </c>
      <c r="O119" t="inlineStr">
        <is>
          <t>Assigned</t>
        </is>
      </c>
      <c r="P119" t="inlineStr"/>
    </row>
    <row r="120">
      <c r="A120" t="inlineStr">
        <is>
          <t>DSK-00118</t>
        </is>
      </c>
      <c r="B120" t="inlineStr">
        <is>
          <t>HP25408876</t>
        </is>
      </c>
      <c r="C120" t="inlineStr">
        <is>
          <t>Desktop</t>
        </is>
      </c>
      <c r="D120" t="inlineStr">
        <is>
          <t>HP</t>
        </is>
      </c>
      <c r="E120" t="inlineStr">
        <is>
          <t>ProDesk 400 G9</t>
        </is>
      </c>
      <c r="F120" t="inlineStr">
        <is>
          <t>William Baker</t>
        </is>
      </c>
      <c r="G120" t="inlineStr">
        <is>
          <t>HR</t>
        </is>
      </c>
      <c r="H120" t="inlineStr">
        <is>
          <t>HQ-Queens</t>
        </is>
      </c>
      <c r="I120" t="inlineStr">
        <is>
          <t>Queens</t>
        </is>
      </c>
      <c r="J120" s="12" t="n">
        <v>45990</v>
      </c>
      <c r="K120" s="12" t="n">
        <v>47085</v>
      </c>
      <c r="L120" t="inlineStr">
        <is>
          <t>Assigned</t>
        </is>
      </c>
      <c r="M120" t="inlineStr">
        <is>
          <t>Damaged</t>
        </is>
      </c>
      <c r="N120" s="12" t="n">
        <v>46164</v>
      </c>
      <c r="O120" t="inlineStr">
        <is>
          <t>Assigned</t>
        </is>
      </c>
      <c r="P120" t="inlineStr"/>
    </row>
    <row r="121">
      <c r="A121" t="inlineStr">
        <is>
          <t>PRT-00119</t>
        </is>
      </c>
      <c r="B121" t="inlineStr">
        <is>
          <t>HP18355772</t>
        </is>
      </c>
      <c r="C121" t="inlineStr">
        <is>
          <t>Printer</t>
        </is>
      </c>
      <c r="D121" t="inlineStr">
        <is>
          <t>HP</t>
        </is>
      </c>
      <c r="E121" t="inlineStr">
        <is>
          <t>LaserJet Pro M404dn</t>
        </is>
      </c>
      <c r="F121" t="inlineStr">
        <is>
          <t>Jordan Henderson</t>
        </is>
      </c>
      <c r="G121" t="inlineStr">
        <is>
          <t>HR</t>
        </is>
      </c>
      <c r="H121" t="inlineStr">
        <is>
          <t>Store-Manhattan</t>
        </is>
      </c>
      <c r="I121" t="inlineStr">
        <is>
          <t>Manhattan</t>
        </is>
      </c>
      <c r="J121" s="12" t="n">
        <v>45828</v>
      </c>
      <c r="K121" s="12" t="n">
        <v>46193</v>
      </c>
      <c r="L121" t="inlineStr">
        <is>
          <t>Assigned</t>
        </is>
      </c>
      <c r="M121" t="inlineStr">
        <is>
          <t>Fair</t>
        </is>
      </c>
      <c r="N121" s="12" t="n">
        <v>46181</v>
      </c>
      <c r="O121" t="inlineStr">
        <is>
          <t>Assigned</t>
        </is>
      </c>
      <c r="P121" t="inlineStr"/>
    </row>
    <row r="122">
      <c r="A122" t="inlineStr">
        <is>
          <t>MON-00120</t>
        </is>
      </c>
      <c r="B122" t="inlineStr">
        <is>
          <t>LG02694128</t>
        </is>
      </c>
      <c r="C122" t="inlineStr">
        <is>
          <t>Monitor</t>
        </is>
      </c>
      <c r="D122" t="inlineStr">
        <is>
          <t>LG</t>
        </is>
      </c>
      <c r="E122" t="inlineStr">
        <is>
          <t>27BN85U-N</t>
        </is>
      </c>
      <c r="F122" t="inlineStr">
        <is>
          <t>Whitney Peters</t>
        </is>
      </c>
      <c r="G122" t="inlineStr">
        <is>
          <t>Customer Service</t>
        </is>
      </c>
      <c r="H122" t="inlineStr">
        <is>
          <t>Store-Queens</t>
        </is>
      </c>
      <c r="I122" t="inlineStr">
        <is>
          <t>Queens</t>
        </is>
      </c>
      <c r="J122" s="12" t="n">
        <v>45412</v>
      </c>
      <c r="K122" s="12" t="n">
        <v>45777</v>
      </c>
      <c r="L122" t="inlineStr">
        <is>
          <t>In Repair</t>
        </is>
      </c>
      <c r="M122" t="inlineStr">
        <is>
          <t>Excellent</t>
        </is>
      </c>
      <c r="N122" s="12" t="n">
        <v>46111</v>
      </c>
      <c r="O122" t="inlineStr">
        <is>
          <t>In Repair</t>
        </is>
      </c>
      <c r="P122" t="inlineStr">
        <is>
          <t>Auto-generated record — status In Repair.</t>
        </is>
      </c>
    </row>
  </sheetData>
  <mergeCells count="1">
    <mergeCell ref="A1:P1"/>
  </mergeCells>
  <conditionalFormatting sqref="L3:L122">
    <cfRule type="expression" priority="1" dxfId="4">
      <formula>$L3="In Stock"</formula>
    </cfRule>
    <cfRule type="expression" priority="2" dxfId="0">
      <formula>$L3="Assigned"</formula>
    </cfRule>
    <cfRule type="expression" priority="3" dxfId="2">
      <formula>$L3="In Repair"</formula>
    </cfRule>
    <cfRule type="expression" priority="4" dxfId="4">
      <formula>$L3="Returned"</formula>
    </cfRule>
    <cfRule type="expression" priority="5" dxfId="4">
      <formula>$L3="Retired"</formula>
    </cfRule>
    <cfRule type="expression" priority="6" dxfId="4">
      <formula>$L3="Disposed"</formula>
    </cfRule>
    <cfRule type="expression" priority="7" dxfId="1">
      <formula>$L3="Missing"</formula>
    </cfRule>
  </conditionalFormatting>
  <conditionalFormatting sqref="O3:O122">
    <cfRule type="expression" priority="8" dxfId="4">
      <formula>$O3="Received"</formula>
    </cfRule>
    <cfRule type="expression" priority="9" dxfId="4">
      <formula>$O3="Tagged"</formula>
    </cfRule>
    <cfRule type="expression" priority="10" dxfId="0">
      <formula>$O3="In Stock"</formula>
    </cfRule>
    <cfRule type="expression" priority="11" dxfId="0">
      <formula>$O3="Assigned"</formula>
    </cfRule>
    <cfRule type="expression" priority="12" dxfId="2">
      <formula>$O3="In Repair"</formula>
    </cfRule>
    <cfRule type="expression" priority="13" dxfId="4">
      <formula>$O3="Returned"</formula>
    </cfRule>
    <cfRule type="expression" priority="14" dxfId="2">
      <formula>$O3="Retired"</formula>
    </cfRule>
    <cfRule type="expression" priority="15" dxfId="2">
      <formula>$O3="Data Wiped"</formula>
    </cfRule>
    <cfRule type="expression" priority="16" dxfId="4">
      <formula>$O3="Disposed"</formula>
    </cfRule>
  </conditionalFormatting>
  <conditionalFormatting sqref="A3:P122">
    <cfRule type="expression" priority="17" dxfId="1">
      <formula>$L3="Missing"</formula>
    </cfRule>
  </conditionalFormatting>
  <conditionalFormatting sqref="K3:K122">
    <cfRule type="expression" priority="18" dxfId="2">
      <formula>AND($K3&gt;=DATE(2026,7,1),$K3&lt;=DATE(2026,9,29))</formula>
    </cfRule>
  </conditionalFormatting>
  <dataValidations count="2">
    <dataValidation sqref="L3:L122" showDropDown="0" showInputMessage="0" showErrorMessage="1" allowBlank="1" errorTitle="Invalid Entry" error="Please select a value from the dropdown list." type="list">
      <formula1>"In Stock,Assigned,In Repair,Returned,Retired,Disposed,Missing"</formula1>
    </dataValidation>
    <dataValidation sqref="O3:O122" showDropDown="0" showInputMessage="0" showErrorMessage="1" allowBlank="1" errorTitle="Invalid Entry" error="Please select a value from the dropdown list." type="list">
      <formula1>"Received,Tagged,In Stock,Assigned,In Repair,Returned,Retired,Data Wiped,Disposed"</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179"/>
  <sheetViews>
    <sheetView showGridLines="0" workbookViewId="0">
      <pane ySplit="61" topLeftCell="A62" activePane="bottomLeft" state="frozen"/>
      <selection pane="bottomLeft" activeCell="A1" sqref="A1"/>
    </sheetView>
  </sheetViews>
  <sheetFormatPr baseColWidth="8" defaultRowHeight="15"/>
  <cols>
    <col width="28" customWidth="1" min="1" max="1"/>
    <col width="15" customWidth="1" min="2" max="2"/>
    <col width="19" customWidth="1" min="3" max="3"/>
    <col width="19" customWidth="1" min="4" max="4"/>
    <col width="22" customWidth="1" min="5" max="5"/>
    <col width="23" customWidth="1" min="6" max="6"/>
    <col width="26" customWidth="1" min="7" max="7"/>
    <col width="10" customWidth="1" min="8" max="8"/>
    <col width="20" customWidth="1" min="9" max="9"/>
    <col width="19" customWidth="1" min="10" max="10"/>
  </cols>
  <sheetData>
    <row r="1" ht="28" customHeight="1">
      <c r="A1" s="14" t="inlineStr">
        <is>
          <t>Audit Reconciliation</t>
        </is>
      </c>
    </row>
    <row r="2"/>
    <row r="3">
      <c r="A3" s="15" t="inlineStr">
        <is>
          <t>Total Assets Audited</t>
        </is>
      </c>
      <c r="B3" s="16" t="n"/>
      <c r="C3" s="15" t="inlineStr">
        <is>
          <t>Exception Count</t>
        </is>
      </c>
      <c r="D3" s="16" t="n"/>
      <c r="E3" s="15" t="inlineStr">
        <is>
          <t>Exception Rate</t>
        </is>
      </c>
      <c r="F3" s="16" t="n"/>
      <c r="G3" s="15" t="inlineStr">
        <is>
          <t>High Priority Exceptions</t>
        </is>
      </c>
      <c r="H3" s="16" t="n"/>
      <c r="I3" s="15" t="inlineStr">
        <is>
          <t>Open Exceptions</t>
        </is>
      </c>
      <c r="J3" s="16" t="n"/>
    </row>
    <row r="4">
      <c r="A4" s="18" t="n">
        <v>118</v>
      </c>
      <c r="B4" s="16" t="n"/>
      <c r="C4" s="18" t="n">
        <v>20</v>
      </c>
      <c r="D4" s="16" t="n"/>
      <c r="E4" s="19" t="n">
        <v>0.1694915254237288</v>
      </c>
      <c r="F4" s="16" t="n"/>
      <c r="G4" s="18" t="n">
        <v>9</v>
      </c>
      <c r="H4" s="16" t="n"/>
      <c r="I4" s="18" t="n">
        <v>13</v>
      </c>
      <c r="J4" s="16" t="n"/>
    </row>
    <row r="5"/>
    <row r="6">
      <c r="A6" s="4" t="inlineStr">
        <is>
          <t>Exception Summary by Type</t>
        </is>
      </c>
      <c r="B6" s="6" t="n"/>
    </row>
    <row r="7">
      <c r="A7" s="9" t="inlineStr">
        <is>
          <t>Exception Type</t>
        </is>
      </c>
      <c r="B7" s="9" t="inlineStr">
        <is>
          <t>Count</t>
        </is>
      </c>
    </row>
    <row r="8">
      <c r="A8" t="inlineStr">
        <is>
          <t>Missing from Audit</t>
        </is>
      </c>
      <c r="B8" t="n">
        <v>4</v>
      </c>
    </row>
    <row r="9">
      <c r="A9" t="inlineStr">
        <is>
          <t>Found Not in System</t>
        </is>
      </c>
      <c r="B9" t="n">
        <v>1</v>
      </c>
    </row>
    <row r="10">
      <c r="A10" t="inlineStr">
        <is>
          <t>Wrong Location</t>
        </is>
      </c>
      <c r="B10" t="n">
        <v>3</v>
      </c>
    </row>
    <row r="11">
      <c r="A11" t="inlineStr">
        <is>
          <t>Wrong User</t>
        </is>
      </c>
      <c r="B11" t="n">
        <v>4</v>
      </c>
    </row>
    <row r="12">
      <c r="A12" t="inlineStr">
        <is>
          <t>Duplicate Serial Number</t>
        </is>
      </c>
      <c r="B12" t="n">
        <v>1</v>
      </c>
    </row>
    <row r="13">
      <c r="A13" t="inlineStr">
        <is>
          <t>Missing Asset Tag</t>
        </is>
      </c>
      <c r="B13" t="n">
        <v>4</v>
      </c>
    </row>
    <row r="14">
      <c r="A14" t="inlineStr">
        <is>
          <t>Retired but Active</t>
        </is>
      </c>
      <c r="B14" t="n">
        <v>3</v>
      </c>
    </row>
    <row r="15">
      <c r="A15" t="inlineStr">
        <is>
          <t>No Exception</t>
        </is>
      </c>
      <c r="B15" t="n">
        <v>98</v>
      </c>
    </row>
    <row r="16"/>
    <row r="17">
      <c r="A17" s="4" t="inlineStr">
        <is>
          <t>System Inventory (Sample)</t>
        </is>
      </c>
      <c r="B17" s="5" t="n"/>
      <c r="C17" s="5" t="n"/>
      <c r="D17" s="5" t="n"/>
      <c r="E17" s="5" t="n"/>
      <c r="F17" s="6" t="n"/>
    </row>
    <row r="18">
      <c r="A18" s="9" t="inlineStr">
        <is>
          <t>Asset Tag</t>
        </is>
      </c>
      <c r="B18" s="9" t="inlineStr">
        <is>
          <t>Serial Number</t>
        </is>
      </c>
      <c r="C18" s="9" t="inlineStr">
        <is>
          <t>Device Type</t>
        </is>
      </c>
      <c r="D18" s="9" t="inlineStr">
        <is>
          <t>Location</t>
        </is>
      </c>
      <c r="E18" s="9" t="inlineStr">
        <is>
          <t>Assigned User</t>
        </is>
      </c>
      <c r="F18" s="9" t="inlineStr">
        <is>
          <t>Status</t>
        </is>
      </c>
    </row>
    <row r="19">
      <c r="A19" t="inlineStr">
        <is>
          <t>LAP-00001</t>
        </is>
      </c>
      <c r="B19" t="inlineStr">
        <is>
          <t>LEN64480620</t>
        </is>
      </c>
      <c r="C19" t="inlineStr">
        <is>
          <t>Laptop</t>
        </is>
      </c>
      <c r="D19" t="inlineStr">
        <is>
          <t>DC-NJ</t>
        </is>
      </c>
      <c r="E19" t="inlineStr">
        <is>
          <t>Maria Gonzalez</t>
        </is>
      </c>
      <c r="F19" t="inlineStr">
        <is>
          <t>Assigned</t>
        </is>
      </c>
    </row>
    <row r="20">
      <c r="A20" t="inlineStr">
        <is>
          <t>LAP-00002</t>
        </is>
      </c>
      <c r="B20" t="inlineStr">
        <is>
          <t>HP77775184</t>
        </is>
      </c>
      <c r="C20" t="inlineStr">
        <is>
          <t>Laptop</t>
        </is>
      </c>
      <c r="D20" t="inlineStr">
        <is>
          <t>DC-PA</t>
        </is>
      </c>
      <c r="E20" t="inlineStr">
        <is>
          <t>Unassigned</t>
        </is>
      </c>
      <c r="F20" t="inlineStr">
        <is>
          <t>In Stock</t>
        </is>
      </c>
    </row>
    <row r="21">
      <c r="A21" t="inlineStr">
        <is>
          <t>DSK-00003</t>
        </is>
      </c>
      <c r="B21" t="inlineStr">
        <is>
          <t>DEL19764854</t>
        </is>
      </c>
      <c r="C21" t="inlineStr">
        <is>
          <t>Desktop</t>
        </is>
      </c>
      <c r="D21" t="inlineStr">
        <is>
          <t>Store-Bronx</t>
        </is>
      </c>
      <c r="E21" t="inlineStr">
        <is>
          <t>James Rivera</t>
        </is>
      </c>
      <c r="F21" t="inlineStr">
        <is>
          <t>Missing</t>
        </is>
      </c>
    </row>
    <row r="22">
      <c r="A22" t="inlineStr">
        <is>
          <t>DSK-00004</t>
        </is>
      </c>
      <c r="B22" t="inlineStr">
        <is>
          <t>HP05808826</t>
        </is>
      </c>
      <c r="C22" t="inlineStr">
        <is>
          <t>Desktop</t>
        </is>
      </c>
      <c r="D22" t="inlineStr">
        <is>
          <t>Store-Queens</t>
        </is>
      </c>
      <c r="E22" t="inlineStr">
        <is>
          <t>Unassigned</t>
        </is>
      </c>
      <c r="F22" t="inlineStr">
        <is>
          <t>Retired</t>
        </is>
      </c>
    </row>
    <row r="23">
      <c r="A23" t="inlineStr">
        <is>
          <t>PRT-00005</t>
        </is>
      </c>
      <c r="B23" t="inlineStr">
        <is>
          <t>HP73094867</t>
        </is>
      </c>
      <c r="C23" t="inlineStr">
        <is>
          <t>Printer</t>
        </is>
      </c>
      <c r="D23" t="inlineStr">
        <is>
          <t>Store-Brooklyn</t>
        </is>
      </c>
      <c r="E23" t="inlineStr">
        <is>
          <t>Former Employee</t>
        </is>
      </c>
      <c r="F23" t="inlineStr">
        <is>
          <t>Returned</t>
        </is>
      </c>
    </row>
    <row r="24">
      <c r="A24" t="inlineStr">
        <is>
          <t>PRT-00006</t>
        </is>
      </c>
      <c r="B24" t="inlineStr">
        <is>
          <t>CAN34405176</t>
        </is>
      </c>
      <c r="C24" t="inlineStr">
        <is>
          <t>Printer</t>
        </is>
      </c>
      <c r="D24" t="inlineStr">
        <is>
          <t>Store-Manhattan</t>
        </is>
      </c>
      <c r="E24" t="inlineStr">
        <is>
          <t>Carlos Mendez</t>
        </is>
      </c>
      <c r="F24" t="inlineStr">
        <is>
          <t>In Repair</t>
        </is>
      </c>
    </row>
    <row r="25">
      <c r="A25" t="inlineStr">
        <is>
          <t>MON-00008</t>
        </is>
      </c>
      <c r="B25" t="inlineStr">
        <is>
          <t>LG56941867</t>
        </is>
      </c>
      <c r="C25" t="inlineStr">
        <is>
          <t>Monitor</t>
        </is>
      </c>
      <c r="D25" t="inlineStr">
        <is>
          <t>DC-PA</t>
        </is>
      </c>
      <c r="E25" t="inlineStr">
        <is>
          <t>Allison Hill</t>
        </is>
      </c>
      <c r="F25" t="inlineStr">
        <is>
          <t>Assigned</t>
        </is>
      </c>
    </row>
    <row r="26">
      <c r="A26" t="inlineStr">
        <is>
          <t>LAP-00009</t>
        </is>
      </c>
      <c r="B26" t="inlineStr">
        <is>
          <t>LEN82266181</t>
        </is>
      </c>
      <c r="C26" t="inlineStr">
        <is>
          <t>Laptop</t>
        </is>
      </c>
      <c r="D26" t="inlineStr">
        <is>
          <t>Store-Bronx</t>
        </is>
      </c>
      <c r="E26" t="inlineStr">
        <is>
          <t>Noah Rhodes</t>
        </is>
      </c>
      <c r="F26" t="inlineStr">
        <is>
          <t>In Repair</t>
        </is>
      </c>
    </row>
    <row r="27">
      <c r="A27" t="inlineStr">
        <is>
          <t>MON-00010</t>
        </is>
      </c>
      <c r="B27" t="inlineStr">
        <is>
          <t>LG27545501</t>
        </is>
      </c>
      <c r="C27" t="inlineStr">
        <is>
          <t>Monitor</t>
        </is>
      </c>
      <c r="D27" t="inlineStr">
        <is>
          <t>DC-NY</t>
        </is>
      </c>
      <c r="E27" t="inlineStr">
        <is>
          <t>Unassigned</t>
        </is>
      </c>
      <c r="F27" t="inlineStr">
        <is>
          <t>In Stock</t>
        </is>
      </c>
    </row>
    <row r="28">
      <c r="A28" t="inlineStr">
        <is>
          <t>DSK-00011</t>
        </is>
      </c>
      <c r="B28" t="inlineStr">
        <is>
          <t>DEL07565505</t>
        </is>
      </c>
      <c r="C28" t="inlineStr">
        <is>
          <t>Desktop</t>
        </is>
      </c>
      <c r="D28" t="inlineStr">
        <is>
          <t>DC-NJ</t>
        </is>
      </c>
      <c r="E28" t="inlineStr">
        <is>
          <t>Angie Henderson</t>
        </is>
      </c>
      <c r="F28" t="inlineStr">
        <is>
          <t>Assigned</t>
        </is>
      </c>
    </row>
    <row r="29">
      <c r="A29" t="inlineStr">
        <is>
          <t>MON-00012</t>
        </is>
      </c>
      <c r="B29" t="inlineStr">
        <is>
          <t>LG24980280</t>
        </is>
      </c>
      <c r="C29" t="inlineStr">
        <is>
          <t>Monitor</t>
        </is>
      </c>
      <c r="D29" t="inlineStr">
        <is>
          <t>Store-Bronx</t>
        </is>
      </c>
      <c r="E29" t="inlineStr">
        <is>
          <t>Daniel Wagner</t>
        </is>
      </c>
      <c r="F29" t="inlineStr">
        <is>
          <t>Assigned</t>
        </is>
      </c>
    </row>
    <row r="30">
      <c r="A30" t="inlineStr">
        <is>
          <t>MON-00013</t>
        </is>
      </c>
      <c r="B30" t="inlineStr">
        <is>
          <t>LG57964448</t>
        </is>
      </c>
      <c r="C30" t="inlineStr">
        <is>
          <t>Monitor</t>
        </is>
      </c>
      <c r="D30" t="inlineStr">
        <is>
          <t>Store-Bronx</t>
        </is>
      </c>
      <c r="E30" t="inlineStr">
        <is>
          <t>Unassigned</t>
        </is>
      </c>
      <c r="F30" t="inlineStr">
        <is>
          <t>In Stock</t>
        </is>
      </c>
    </row>
    <row r="31">
      <c r="A31" t="inlineStr">
        <is>
          <t>DSK-00014</t>
        </is>
      </c>
      <c r="B31" t="inlineStr">
        <is>
          <t>HP64719591</t>
        </is>
      </c>
      <c r="C31" t="inlineStr">
        <is>
          <t>Desktop</t>
        </is>
      </c>
      <c r="D31" t="inlineStr">
        <is>
          <t>DC-PA</t>
        </is>
      </c>
      <c r="E31" t="inlineStr">
        <is>
          <t>Cristian Santos</t>
        </is>
      </c>
      <c r="F31" t="inlineStr">
        <is>
          <t>Assigned</t>
        </is>
      </c>
    </row>
    <row r="32">
      <c r="A32" t="inlineStr">
        <is>
          <t>PRT-00015</t>
        </is>
      </c>
      <c r="B32" t="inlineStr">
        <is>
          <t>CAN66639031</t>
        </is>
      </c>
      <c r="C32" t="inlineStr">
        <is>
          <t>Printer</t>
        </is>
      </c>
      <c r="D32" t="inlineStr">
        <is>
          <t>Store-Yonkers</t>
        </is>
      </c>
      <c r="E32" t="inlineStr">
        <is>
          <t>Connie Lawrence</t>
        </is>
      </c>
      <c r="F32" t="inlineStr">
        <is>
          <t>Assigned</t>
        </is>
      </c>
    </row>
    <row r="33">
      <c r="A33" t="inlineStr">
        <is>
          <t>DSK-00016</t>
        </is>
      </c>
      <c r="B33" t="inlineStr">
        <is>
          <t>HP79272774</t>
        </is>
      </c>
      <c r="C33" t="inlineStr">
        <is>
          <t>Desktop</t>
        </is>
      </c>
      <c r="D33" t="inlineStr">
        <is>
          <t>HQ-Queens</t>
        </is>
      </c>
      <c r="E33" t="inlineStr">
        <is>
          <t>Unassigned</t>
        </is>
      </c>
      <c r="F33" t="inlineStr">
        <is>
          <t>In Stock</t>
        </is>
      </c>
    </row>
    <row r="34">
      <c r="A34" t="inlineStr">
        <is>
          <t>MON-00017</t>
        </is>
      </c>
      <c r="B34" t="inlineStr">
        <is>
          <t>DEL72738551</t>
        </is>
      </c>
      <c r="C34" t="inlineStr">
        <is>
          <t>Monitor</t>
        </is>
      </c>
      <c r="D34" t="inlineStr">
        <is>
          <t>Store-Bronx</t>
        </is>
      </c>
      <c r="E34" t="inlineStr">
        <is>
          <t>Unassigned</t>
        </is>
      </c>
      <c r="F34" t="inlineStr">
        <is>
          <t>Retired</t>
        </is>
      </c>
    </row>
    <row r="35">
      <c r="A35" t="inlineStr">
        <is>
          <t>PRT-00018</t>
        </is>
      </c>
      <c r="B35" t="inlineStr">
        <is>
          <t>CAN36150660</t>
        </is>
      </c>
      <c r="C35" t="inlineStr">
        <is>
          <t>Printer</t>
        </is>
      </c>
      <c r="D35" t="inlineStr">
        <is>
          <t>Store-Stamford</t>
        </is>
      </c>
      <c r="E35" t="inlineStr">
        <is>
          <t>Unassigned</t>
        </is>
      </c>
      <c r="F35" t="inlineStr">
        <is>
          <t>In Stock</t>
        </is>
      </c>
    </row>
    <row r="36">
      <c r="A36" t="inlineStr">
        <is>
          <t>MON-00019</t>
        </is>
      </c>
      <c r="B36" t="inlineStr">
        <is>
          <t>DEL61611571</t>
        </is>
      </c>
      <c r="C36" t="inlineStr">
        <is>
          <t>Monitor</t>
        </is>
      </c>
      <c r="D36" t="inlineStr">
        <is>
          <t>Store-Queens</t>
        </is>
      </c>
      <c r="E36" t="inlineStr">
        <is>
          <t>Abigail Shaffer</t>
        </is>
      </c>
      <c r="F36" t="inlineStr">
        <is>
          <t>Assigned</t>
        </is>
      </c>
    </row>
    <row r="37"/>
    <row r="38">
      <c r="A38" s="4" t="inlineStr">
        <is>
          <t>Physical Audit Count (Sample)</t>
        </is>
      </c>
      <c r="B38" s="5" t="n"/>
      <c r="C38" s="5" t="n"/>
      <c r="D38" s="5" t="n"/>
      <c r="E38" s="6" t="n"/>
    </row>
    <row r="39">
      <c r="A39" s="9" t="inlineStr">
        <is>
          <t>Asset Tag</t>
        </is>
      </c>
      <c r="B39" s="9" t="inlineStr">
        <is>
          <t>Serial Number</t>
        </is>
      </c>
      <c r="C39" s="9" t="inlineStr">
        <is>
          <t>Location</t>
        </is>
      </c>
      <c r="D39" s="9" t="inlineStr">
        <is>
          <t>Assigned User</t>
        </is>
      </c>
      <c r="E39" s="9" t="inlineStr">
        <is>
          <t>Physical Status</t>
        </is>
      </c>
    </row>
    <row r="40">
      <c r="A40" t="inlineStr">
        <is>
          <t>LAP-00001</t>
        </is>
      </c>
      <c r="B40" t="inlineStr">
        <is>
          <t>LEN64480620</t>
        </is>
      </c>
      <c r="C40" t="inlineStr">
        <is>
          <t>DC-NJ</t>
        </is>
      </c>
      <c r="D40" t="inlineStr">
        <is>
          <t>Maria Gonzalez</t>
        </is>
      </c>
      <c r="E40" t="inlineStr">
        <is>
          <t>Present</t>
        </is>
      </c>
    </row>
    <row r="41">
      <c r="A41" t="inlineStr">
        <is>
          <t>LAP-00002</t>
        </is>
      </c>
      <c r="B41" t="inlineStr">
        <is>
          <t>HP77775184</t>
        </is>
      </c>
      <c r="C41" t="inlineStr">
        <is>
          <t>DC-PA</t>
        </is>
      </c>
      <c r="D41" t="inlineStr">
        <is>
          <t>Unassigned</t>
        </is>
      </c>
      <c r="E41" t="inlineStr">
        <is>
          <t>Present</t>
        </is>
      </c>
    </row>
    <row r="42">
      <c r="A42" t="inlineStr">
        <is>
          <t>DSK-00003</t>
        </is>
      </c>
      <c r="B42" t="inlineStr">
        <is>
          <t>DEL19764854</t>
        </is>
      </c>
      <c r="C42" t="inlineStr">
        <is>
          <t>Store-Bronx</t>
        </is>
      </c>
      <c r="D42" t="inlineStr">
        <is>
          <t>James Rivera</t>
        </is>
      </c>
      <c r="E42" t="inlineStr">
        <is>
          <t>Not Found</t>
        </is>
      </c>
    </row>
    <row r="43">
      <c r="A43" t="inlineStr">
        <is>
          <t>DSK-00004</t>
        </is>
      </c>
      <c r="B43" t="inlineStr">
        <is>
          <t>HP05808826</t>
        </is>
      </c>
      <c r="C43" t="inlineStr">
        <is>
          <t>Store-Queens</t>
        </is>
      </c>
      <c r="D43" t="inlineStr">
        <is>
          <t>Unassigned</t>
        </is>
      </c>
      <c r="E43" t="inlineStr">
        <is>
          <t>Present</t>
        </is>
      </c>
    </row>
    <row r="44">
      <c r="A44" t="inlineStr">
        <is>
          <t>PRT-00005</t>
        </is>
      </c>
      <c r="B44" t="inlineStr">
        <is>
          <t>HP73094867</t>
        </is>
      </c>
      <c r="C44" t="inlineStr">
        <is>
          <t>Store-Brooklyn</t>
        </is>
      </c>
      <c r="D44" t="inlineStr">
        <is>
          <t>Former Employee</t>
        </is>
      </c>
      <c r="E44" t="inlineStr">
        <is>
          <t>Present</t>
        </is>
      </c>
    </row>
    <row r="45">
      <c r="A45" t="inlineStr">
        <is>
          <t>PRT-00006</t>
        </is>
      </c>
      <c r="B45" t="inlineStr">
        <is>
          <t>CAN34405176</t>
        </is>
      </c>
      <c r="C45" t="inlineStr">
        <is>
          <t>Store-Manhattan</t>
        </is>
      </c>
      <c r="D45" t="inlineStr">
        <is>
          <t>Carlos Mendez</t>
        </is>
      </c>
      <c r="E45" t="inlineStr">
        <is>
          <t>Present</t>
        </is>
      </c>
    </row>
    <row r="46">
      <c r="A46" t="inlineStr">
        <is>
          <t>MON-00008</t>
        </is>
      </c>
      <c r="B46" t="inlineStr">
        <is>
          <t>LG56941867</t>
        </is>
      </c>
      <c r="C46" t="inlineStr">
        <is>
          <t>DC-PA</t>
        </is>
      </c>
      <c r="D46" t="inlineStr">
        <is>
          <t>Allison Hill</t>
        </is>
      </c>
      <c r="E46" t="inlineStr">
        <is>
          <t>Present</t>
        </is>
      </c>
    </row>
    <row r="47">
      <c r="A47" t="inlineStr">
        <is>
          <t>LAP-00009</t>
        </is>
      </c>
      <c r="B47" t="inlineStr">
        <is>
          <t>LEN82266181</t>
        </is>
      </c>
      <c r="C47" t="inlineStr">
        <is>
          <t>Store-Bronx</t>
        </is>
      </c>
      <c r="D47" t="inlineStr">
        <is>
          <t>Noah Rhodes</t>
        </is>
      </c>
      <c r="E47" t="inlineStr">
        <is>
          <t>Present</t>
        </is>
      </c>
    </row>
    <row r="48">
      <c r="A48" t="inlineStr">
        <is>
          <t>MON-00010</t>
        </is>
      </c>
      <c r="B48" t="inlineStr">
        <is>
          <t>LG27545501</t>
        </is>
      </c>
      <c r="C48" t="inlineStr">
        <is>
          <t>DC-NY</t>
        </is>
      </c>
      <c r="D48" t="inlineStr">
        <is>
          <t>Unassigned</t>
        </is>
      </c>
      <c r="E48" t="inlineStr">
        <is>
          <t>Present</t>
        </is>
      </c>
    </row>
    <row r="49">
      <c r="A49" t="inlineStr">
        <is>
          <t>DSK-00011</t>
        </is>
      </c>
      <c r="B49" t="inlineStr">
        <is>
          <t>DEL07565505</t>
        </is>
      </c>
      <c r="C49" t="inlineStr">
        <is>
          <t>DC-NJ</t>
        </is>
      </c>
      <c r="D49" t="inlineStr">
        <is>
          <t>Angie Henderson</t>
        </is>
      </c>
      <c r="E49" t="inlineStr">
        <is>
          <t>Present</t>
        </is>
      </c>
    </row>
    <row r="50">
      <c r="A50" t="inlineStr">
        <is>
          <t>MON-00012</t>
        </is>
      </c>
      <c r="B50" t="inlineStr">
        <is>
          <t>LG24980280</t>
        </is>
      </c>
      <c r="C50" t="inlineStr">
        <is>
          <t>Store-Bronx</t>
        </is>
      </c>
      <c r="D50" t="inlineStr">
        <is>
          <t>Daniel Wagner</t>
        </is>
      </c>
      <c r="E50" t="inlineStr">
        <is>
          <t>Present</t>
        </is>
      </c>
    </row>
    <row r="51">
      <c r="A51" t="inlineStr">
        <is>
          <t>MON-00013</t>
        </is>
      </c>
      <c r="B51" t="inlineStr">
        <is>
          <t>LG57964448</t>
        </is>
      </c>
      <c r="C51" t="inlineStr">
        <is>
          <t>Store-Bronx</t>
        </is>
      </c>
      <c r="D51" t="inlineStr">
        <is>
          <t>Unassigned</t>
        </is>
      </c>
      <c r="E51" t="inlineStr">
        <is>
          <t>Present</t>
        </is>
      </c>
    </row>
    <row r="52">
      <c r="A52" t="inlineStr">
        <is>
          <t>DSK-00014</t>
        </is>
      </c>
      <c r="B52" t="inlineStr">
        <is>
          <t>HP64719591</t>
        </is>
      </c>
      <c r="C52" t="inlineStr">
        <is>
          <t>DC-PA</t>
        </is>
      </c>
      <c r="D52" t="inlineStr">
        <is>
          <t>Cristian Santos</t>
        </is>
      </c>
      <c r="E52" t="inlineStr">
        <is>
          <t>Present</t>
        </is>
      </c>
    </row>
    <row r="53">
      <c r="A53" t="inlineStr">
        <is>
          <t>PRT-00015</t>
        </is>
      </c>
      <c r="B53" t="inlineStr">
        <is>
          <t>CAN66639031</t>
        </is>
      </c>
      <c r="C53" t="inlineStr">
        <is>
          <t>Store-Yonkers</t>
        </is>
      </c>
      <c r="D53" t="inlineStr">
        <is>
          <t>Connie Lawrence</t>
        </is>
      </c>
      <c r="E53" t="inlineStr">
        <is>
          <t>Present</t>
        </is>
      </c>
    </row>
    <row r="54">
      <c r="A54" t="inlineStr">
        <is>
          <t>DSK-00016</t>
        </is>
      </c>
      <c r="B54" t="inlineStr">
        <is>
          <t>HP79272774</t>
        </is>
      </c>
      <c r="C54" t="inlineStr">
        <is>
          <t>HQ-Queens</t>
        </is>
      </c>
      <c r="D54" t="inlineStr">
        <is>
          <t>Unassigned</t>
        </is>
      </c>
      <c r="E54" t="inlineStr">
        <is>
          <t>Present</t>
        </is>
      </c>
    </row>
    <row r="55">
      <c r="A55" t="inlineStr">
        <is>
          <t>MON-00017</t>
        </is>
      </c>
      <c r="B55" t="inlineStr">
        <is>
          <t>DEL72738551</t>
        </is>
      </c>
      <c r="C55" t="inlineStr">
        <is>
          <t>Store-Bronx</t>
        </is>
      </c>
      <c r="D55" t="inlineStr">
        <is>
          <t>Unassigned</t>
        </is>
      </c>
      <c r="E55" t="inlineStr">
        <is>
          <t>Present</t>
        </is>
      </c>
    </row>
    <row r="56">
      <c r="A56" t="inlineStr">
        <is>
          <t>PRT-00018</t>
        </is>
      </c>
      <c r="B56" t="inlineStr">
        <is>
          <t>CAN36150660</t>
        </is>
      </c>
      <c r="C56" t="inlineStr">
        <is>
          <t>Store-Stamford</t>
        </is>
      </c>
      <c r="D56" t="inlineStr">
        <is>
          <t>Unassigned</t>
        </is>
      </c>
      <c r="E56" t="inlineStr">
        <is>
          <t>Present</t>
        </is>
      </c>
    </row>
    <row r="57">
      <c r="A57" t="inlineStr">
        <is>
          <t>MON-00019</t>
        </is>
      </c>
      <c r="B57" t="inlineStr">
        <is>
          <t>DEL61611571</t>
        </is>
      </c>
      <c r="C57" t="inlineStr">
        <is>
          <t>Store-Queens</t>
        </is>
      </c>
      <c r="D57" t="inlineStr">
        <is>
          <t>Abigail Shaffer</t>
        </is>
      </c>
      <c r="E57" t="inlineStr">
        <is>
          <t>Present</t>
        </is>
      </c>
    </row>
    <row r="58">
      <c r="A58" t="inlineStr">
        <is>
          <t>UNKNOWN-001</t>
        </is>
      </c>
      <c r="B58" t="inlineStr">
        <is>
          <t>PHY62145805</t>
        </is>
      </c>
      <c r="C58" t="inlineStr">
        <is>
          <t>Store-Bronx</t>
        </is>
      </c>
      <c r="D58" t="inlineStr">
        <is>
          <t>Walk-In Asset</t>
        </is>
      </c>
      <c r="E58" t="inlineStr">
        <is>
          <t>Present</t>
        </is>
      </c>
    </row>
    <row r="59"/>
    <row r="60">
      <c r="A60" s="4" t="inlineStr">
        <is>
          <t>Exceptions Report</t>
        </is>
      </c>
      <c r="B60" s="5" t="n"/>
      <c r="C60" s="5" t="n"/>
      <c r="D60" s="5" t="n"/>
      <c r="E60" s="5" t="n"/>
      <c r="F60" s="5" t="n"/>
      <c r="G60" s="5" t="n"/>
      <c r="H60" s="5" t="n"/>
      <c r="I60" s="5" t="n"/>
      <c r="J60" s="6" t="n"/>
    </row>
    <row r="61">
      <c r="A61" s="9" t="inlineStr">
        <is>
          <t>Asset Tag</t>
        </is>
      </c>
      <c r="B61" s="9" t="inlineStr">
        <is>
          <t>Serial Number</t>
        </is>
      </c>
      <c r="C61" s="9" t="inlineStr">
        <is>
          <t>Expected Location</t>
        </is>
      </c>
      <c r="D61" s="9" t="inlineStr">
        <is>
          <t>Actual Location</t>
        </is>
      </c>
      <c r="E61" s="9" t="inlineStr">
        <is>
          <t>Expected User</t>
        </is>
      </c>
      <c r="F61" s="9" t="inlineStr">
        <is>
          <t>Actual User</t>
        </is>
      </c>
      <c r="G61" s="9" t="inlineStr">
        <is>
          <t>Exception Type</t>
        </is>
      </c>
      <c r="H61" s="9" t="inlineStr">
        <is>
          <t>Priority</t>
        </is>
      </c>
      <c r="I61" s="9" t="inlineStr">
        <is>
          <t>Follow-Up Owner</t>
        </is>
      </c>
      <c r="J61" s="9" t="inlineStr">
        <is>
          <t>Resolution Status</t>
        </is>
      </c>
    </row>
    <row r="62">
      <c r="A62" t="inlineStr">
        <is>
          <t>LAP-DUP-01</t>
        </is>
      </c>
      <c r="B62" t="inlineStr">
        <is>
          <t>DEL19764854</t>
        </is>
      </c>
      <c r="C62" t="inlineStr">
        <is>
          <t>Store-Bronx</t>
        </is>
      </c>
      <c r="D62" t="inlineStr">
        <is>
          <t>Store-Bronx</t>
        </is>
      </c>
      <c r="E62" t="inlineStr">
        <is>
          <t>Unassigned</t>
        </is>
      </c>
      <c r="F62" t="inlineStr">
        <is>
          <t>Unassigned</t>
        </is>
      </c>
      <c r="G62" t="inlineStr">
        <is>
          <t>Duplicate Serial Number</t>
        </is>
      </c>
      <c r="H62" t="inlineStr">
        <is>
          <t>High</t>
        </is>
      </c>
      <c r="I62" t="inlineStr">
        <is>
          <t>Patricia Nguyen</t>
        </is>
      </c>
      <c r="J62" t="inlineStr">
        <is>
          <t>In Progress</t>
        </is>
      </c>
    </row>
    <row r="63">
      <c r="A63" t="inlineStr">
        <is>
          <t>UNKNOWN-001</t>
        </is>
      </c>
      <c r="B63" t="inlineStr">
        <is>
          <t>PHY62145805</t>
        </is>
      </c>
      <c r="C63" t="inlineStr"/>
      <c r="D63" t="inlineStr">
        <is>
          <t>Store-Bronx</t>
        </is>
      </c>
      <c r="E63" t="inlineStr"/>
      <c r="F63" t="inlineStr">
        <is>
          <t>Walk-In Asset</t>
        </is>
      </c>
      <c r="G63" t="inlineStr">
        <is>
          <t>Found Not in System</t>
        </is>
      </c>
      <c r="H63" t="inlineStr">
        <is>
          <t>High</t>
        </is>
      </c>
      <c r="I63" t="inlineStr">
        <is>
          <t>Daniel A. Cruz</t>
        </is>
      </c>
      <c r="J63" t="inlineStr">
        <is>
          <t>Open</t>
        </is>
      </c>
    </row>
    <row r="64">
      <c r="A64" t="inlineStr">
        <is>
          <t>DSK-00003</t>
        </is>
      </c>
      <c r="B64" t="inlineStr">
        <is>
          <t>DEL19764854</t>
        </is>
      </c>
      <c r="C64" t="inlineStr">
        <is>
          <t>Store-Bronx</t>
        </is>
      </c>
      <c r="D64" t="inlineStr"/>
      <c r="E64" t="inlineStr">
        <is>
          <t>James Rivera</t>
        </is>
      </c>
      <c r="F64" t="inlineStr"/>
      <c r="G64" t="inlineStr">
        <is>
          <t>Missing from Audit</t>
        </is>
      </c>
      <c r="H64" t="inlineStr">
        <is>
          <t>High</t>
        </is>
      </c>
      <c r="I64" t="inlineStr">
        <is>
          <t>Robert Kim</t>
        </is>
      </c>
      <c r="J64" t="inlineStr">
        <is>
          <t>Open</t>
        </is>
      </c>
    </row>
    <row r="65">
      <c r="A65" t="inlineStr">
        <is>
          <t>MOB-00025</t>
        </is>
      </c>
      <c r="B65" t="inlineStr">
        <is>
          <t>APP50249918</t>
        </is>
      </c>
      <c r="C65" t="inlineStr">
        <is>
          <t>Store-Manhattan</t>
        </is>
      </c>
      <c r="D65" t="inlineStr"/>
      <c r="E65" t="inlineStr">
        <is>
          <t>Jamie Arnold</t>
        </is>
      </c>
      <c r="F65" t="inlineStr"/>
      <c r="G65" t="inlineStr">
        <is>
          <t>Missing from Audit</t>
        </is>
      </c>
      <c r="H65" t="inlineStr">
        <is>
          <t>High</t>
        </is>
      </c>
      <c r="I65" t="inlineStr">
        <is>
          <t>Field Support Lead</t>
        </is>
      </c>
      <c r="J65" t="inlineStr">
        <is>
          <t>Open</t>
        </is>
      </c>
    </row>
    <row r="66">
      <c r="A66" t="inlineStr">
        <is>
          <t>LAP-00051</t>
        </is>
      </c>
      <c r="B66" t="inlineStr">
        <is>
          <t>LEN64136907</t>
        </is>
      </c>
      <c r="C66" t="inlineStr">
        <is>
          <t>Store-Yonkers</t>
        </is>
      </c>
      <c r="D66" t="inlineStr"/>
      <c r="E66" t="inlineStr">
        <is>
          <t>Zachary Hicks</t>
        </is>
      </c>
      <c r="F66" t="inlineStr"/>
      <c r="G66" t="inlineStr">
        <is>
          <t>Missing from Audit</t>
        </is>
      </c>
      <c r="H66" t="inlineStr">
        <is>
          <t>High</t>
        </is>
      </c>
      <c r="I66" t="inlineStr">
        <is>
          <t>Patricia Nguyen</t>
        </is>
      </c>
      <c r="J66" t="inlineStr">
        <is>
          <t>Open</t>
        </is>
      </c>
    </row>
    <row r="67">
      <c r="A67" t="inlineStr">
        <is>
          <t>DSK-00098</t>
        </is>
      </c>
      <c r="B67" t="inlineStr">
        <is>
          <t>HP44871160</t>
        </is>
      </c>
      <c r="C67" t="inlineStr">
        <is>
          <t>DC-PA</t>
        </is>
      </c>
      <c r="D67" t="inlineStr"/>
      <c r="E67" t="inlineStr">
        <is>
          <t>Richard Aguirre</t>
        </is>
      </c>
      <c r="F67" t="inlineStr"/>
      <c r="G67" t="inlineStr">
        <is>
          <t>Missing from Audit</t>
        </is>
      </c>
      <c r="H67" t="inlineStr">
        <is>
          <t>High</t>
        </is>
      </c>
      <c r="I67" t="inlineStr">
        <is>
          <t>IT Service Desk</t>
        </is>
      </c>
      <c r="J67" t="inlineStr">
        <is>
          <t>Open</t>
        </is>
      </c>
    </row>
    <row r="68">
      <c r="A68" t="inlineStr">
        <is>
          <t>MON-00017</t>
        </is>
      </c>
      <c r="B68" t="inlineStr">
        <is>
          <t>DEL72738551</t>
        </is>
      </c>
      <c r="C68" t="inlineStr">
        <is>
          <t>Store-Bronx</t>
        </is>
      </c>
      <c r="D68" t="inlineStr">
        <is>
          <t>Store-Bronx</t>
        </is>
      </c>
      <c r="E68" t="inlineStr">
        <is>
          <t>Unassigned</t>
        </is>
      </c>
      <c r="F68" t="inlineStr">
        <is>
          <t>Active User Detected</t>
        </is>
      </c>
      <c r="G68" t="inlineStr">
        <is>
          <t>Retired but Active</t>
        </is>
      </c>
      <c r="H68" t="inlineStr">
        <is>
          <t>High</t>
        </is>
      </c>
      <c r="I68" t="inlineStr">
        <is>
          <t>Patricia Nguyen</t>
        </is>
      </c>
      <c r="J68" t="inlineStr">
        <is>
          <t>Open</t>
        </is>
      </c>
    </row>
    <row r="69">
      <c r="A69" t="inlineStr">
        <is>
          <t>DSK-00034</t>
        </is>
      </c>
      <c r="B69" t="inlineStr">
        <is>
          <t>HP24139416</t>
        </is>
      </c>
      <c r="C69" t="inlineStr">
        <is>
          <t>Store-Manhattan</t>
        </is>
      </c>
      <c r="D69" t="inlineStr">
        <is>
          <t>Store-Manhattan</t>
        </is>
      </c>
      <c r="E69" t="inlineStr">
        <is>
          <t>Unassigned</t>
        </is>
      </c>
      <c r="F69" t="inlineStr">
        <is>
          <t>Active User Detected</t>
        </is>
      </c>
      <c r="G69" t="inlineStr">
        <is>
          <t>Retired but Active</t>
        </is>
      </c>
      <c r="H69" t="inlineStr">
        <is>
          <t>High</t>
        </is>
      </c>
      <c r="I69" t="inlineStr">
        <is>
          <t>Patricia Nguyen</t>
        </is>
      </c>
      <c r="J69" t="inlineStr">
        <is>
          <t>Open</t>
        </is>
      </c>
    </row>
    <row r="70">
      <c r="A70" t="inlineStr">
        <is>
          <t>PRT-00086</t>
        </is>
      </c>
      <c r="B70" t="inlineStr">
        <is>
          <t>CAN60634748</t>
        </is>
      </c>
      <c r="C70" t="inlineStr">
        <is>
          <t>Store-Queens</t>
        </is>
      </c>
      <c r="D70" t="inlineStr">
        <is>
          <t>Store-Queens</t>
        </is>
      </c>
      <c r="E70" t="inlineStr">
        <is>
          <t>Unassigned</t>
        </is>
      </c>
      <c r="F70" t="inlineStr">
        <is>
          <t>Active User Detected</t>
        </is>
      </c>
      <c r="G70" t="inlineStr">
        <is>
          <t>Retired but Active</t>
        </is>
      </c>
      <c r="H70" t="inlineStr">
        <is>
          <t>High</t>
        </is>
      </c>
      <c r="I70" t="inlineStr">
        <is>
          <t>Field Support Lead</t>
        </is>
      </c>
      <c r="J70" t="inlineStr">
        <is>
          <t>Open</t>
        </is>
      </c>
    </row>
    <row r="71">
      <c r="A71" t="inlineStr"/>
      <c r="B71" t="inlineStr">
        <is>
          <t>HP77775184</t>
        </is>
      </c>
      <c r="C71" t="inlineStr">
        <is>
          <t>DC-PA</t>
        </is>
      </c>
      <c r="D71" t="inlineStr">
        <is>
          <t>DC-PA</t>
        </is>
      </c>
      <c r="E71" t="inlineStr">
        <is>
          <t>Unassigned</t>
        </is>
      </c>
      <c r="F71" t="inlineStr">
        <is>
          <t>Unassigned</t>
        </is>
      </c>
      <c r="G71" t="inlineStr">
        <is>
          <t>Missing Asset Tag</t>
        </is>
      </c>
      <c r="H71" t="inlineStr">
        <is>
          <t>Medium</t>
        </is>
      </c>
      <c r="I71" t="inlineStr">
        <is>
          <t>Patricia Nguyen</t>
        </is>
      </c>
      <c r="J71" t="inlineStr">
        <is>
          <t>Resolved</t>
        </is>
      </c>
    </row>
    <row r="72">
      <c r="A72" t="inlineStr"/>
      <c r="B72" t="inlineStr">
        <is>
          <t>HP05808826</t>
        </is>
      </c>
      <c r="C72" t="inlineStr">
        <is>
          <t>Store-Queens</t>
        </is>
      </c>
      <c r="D72" t="inlineStr">
        <is>
          <t>Store-Queens</t>
        </is>
      </c>
      <c r="E72" t="inlineStr">
        <is>
          <t>Unassigned</t>
        </is>
      </c>
      <c r="F72" t="inlineStr">
        <is>
          <t>Unassigned</t>
        </is>
      </c>
      <c r="G72" t="inlineStr">
        <is>
          <t>Missing Asset Tag</t>
        </is>
      </c>
      <c r="H72" t="inlineStr">
        <is>
          <t>Medium</t>
        </is>
      </c>
      <c r="I72" t="inlineStr">
        <is>
          <t>Patricia Nguyen</t>
        </is>
      </c>
      <c r="J72" t="inlineStr">
        <is>
          <t>Resolved</t>
        </is>
      </c>
    </row>
    <row r="73">
      <c r="A73" t="inlineStr"/>
      <c r="B73" t="inlineStr">
        <is>
          <t>CAN48784371</t>
        </is>
      </c>
      <c r="C73" t="inlineStr">
        <is>
          <t>DC-PA</t>
        </is>
      </c>
      <c r="D73" t="inlineStr">
        <is>
          <t>DC-PA</t>
        </is>
      </c>
      <c r="E73" t="inlineStr">
        <is>
          <t>Cassandra Gaines</t>
        </is>
      </c>
      <c r="F73" t="inlineStr">
        <is>
          <t>Cassandra Gaines</t>
        </is>
      </c>
      <c r="G73" t="inlineStr">
        <is>
          <t>Missing Asset Tag</t>
        </is>
      </c>
      <c r="H73" t="inlineStr">
        <is>
          <t>Medium</t>
        </is>
      </c>
      <c r="I73" t="inlineStr">
        <is>
          <t>Daniel A. Cruz</t>
        </is>
      </c>
      <c r="J73" t="inlineStr">
        <is>
          <t>Open</t>
        </is>
      </c>
    </row>
    <row r="74">
      <c r="A74" t="inlineStr"/>
      <c r="B74" t="inlineStr">
        <is>
          <t>FUJ01578465</t>
        </is>
      </c>
      <c r="C74" t="inlineStr">
        <is>
          <t>Store-Yonkers</t>
        </is>
      </c>
      <c r="D74" t="inlineStr">
        <is>
          <t>Store-Yonkers</t>
        </is>
      </c>
      <c r="E74" t="inlineStr">
        <is>
          <t>Anthony Humphrey</t>
        </is>
      </c>
      <c r="F74" t="inlineStr">
        <is>
          <t>Anthony Humphrey</t>
        </is>
      </c>
      <c r="G74" t="inlineStr">
        <is>
          <t>Missing Asset Tag</t>
        </is>
      </c>
      <c r="H74" t="inlineStr">
        <is>
          <t>Medium</t>
        </is>
      </c>
      <c r="I74" t="inlineStr">
        <is>
          <t>Daniel A. Cruz</t>
        </is>
      </c>
      <c r="J74" t="inlineStr">
        <is>
          <t>Open</t>
        </is>
      </c>
    </row>
    <row r="75">
      <c r="A75" t="inlineStr">
        <is>
          <t>MOB-00050</t>
        </is>
      </c>
      <c r="B75" t="inlineStr">
        <is>
          <t>APP91095473</t>
        </is>
      </c>
      <c r="C75" t="inlineStr">
        <is>
          <t>Store-Bronx</t>
        </is>
      </c>
      <c r="D75" t="inlineStr">
        <is>
          <t>Store-Queens</t>
        </is>
      </c>
      <c r="E75" t="inlineStr">
        <is>
          <t>Stephanie Ross</t>
        </is>
      </c>
      <c r="F75" t="inlineStr">
        <is>
          <t>Stephanie Ross</t>
        </is>
      </c>
      <c r="G75" t="inlineStr">
        <is>
          <t>Wrong Location</t>
        </is>
      </c>
      <c r="H75" t="inlineStr">
        <is>
          <t>Medium</t>
        </is>
      </c>
      <c r="I75" t="inlineStr">
        <is>
          <t>Patricia Nguyen</t>
        </is>
      </c>
      <c r="J75" t="inlineStr">
        <is>
          <t>Open</t>
        </is>
      </c>
    </row>
    <row r="76">
      <c r="A76" t="inlineStr">
        <is>
          <t>MOB-00073</t>
        </is>
      </c>
      <c r="B76" t="inlineStr">
        <is>
          <t>APP74002288</t>
        </is>
      </c>
      <c r="C76" t="inlineStr">
        <is>
          <t>DC-PA</t>
        </is>
      </c>
      <c r="D76" t="inlineStr">
        <is>
          <t>DC-NY</t>
        </is>
      </c>
      <c r="E76" t="inlineStr">
        <is>
          <t>Paula Moreno</t>
        </is>
      </c>
      <c r="F76" t="inlineStr">
        <is>
          <t>Paula Moreno</t>
        </is>
      </c>
      <c r="G76" t="inlineStr">
        <is>
          <t>Wrong Location</t>
        </is>
      </c>
      <c r="H76" t="inlineStr">
        <is>
          <t>Medium</t>
        </is>
      </c>
      <c r="I76" t="inlineStr">
        <is>
          <t>IT Service Desk</t>
        </is>
      </c>
      <c r="J76" t="inlineStr">
        <is>
          <t>Open</t>
        </is>
      </c>
    </row>
    <row r="77">
      <c r="A77" t="inlineStr">
        <is>
          <t>DSK-00090</t>
        </is>
      </c>
      <c r="B77" t="inlineStr">
        <is>
          <t>HP35972566</t>
        </is>
      </c>
      <c r="C77" t="inlineStr">
        <is>
          <t>Store-Stamford</t>
        </is>
      </c>
      <c r="D77" t="inlineStr">
        <is>
          <t>Store-Queens</t>
        </is>
      </c>
      <c r="E77" t="inlineStr">
        <is>
          <t>Jessica Holmes</t>
        </is>
      </c>
      <c r="F77" t="inlineStr">
        <is>
          <t>Jessica Holmes</t>
        </is>
      </c>
      <c r="G77" t="inlineStr">
        <is>
          <t>Wrong Location</t>
        </is>
      </c>
      <c r="H77" t="inlineStr">
        <is>
          <t>Medium</t>
        </is>
      </c>
      <c r="I77" t="inlineStr">
        <is>
          <t>Daniel A. Cruz</t>
        </is>
      </c>
      <c r="J77" t="inlineStr">
        <is>
          <t>Open</t>
        </is>
      </c>
    </row>
    <row r="78">
      <c r="A78" t="inlineStr">
        <is>
          <t>MOB-00085</t>
        </is>
      </c>
      <c r="B78" t="inlineStr">
        <is>
          <t>SAM53789275</t>
        </is>
      </c>
      <c r="C78" t="inlineStr">
        <is>
          <t>Store-Stamford</t>
        </is>
      </c>
      <c r="D78" t="inlineStr">
        <is>
          <t>Store-Stamford</t>
        </is>
      </c>
      <c r="E78" t="inlineStr">
        <is>
          <t>John Pierce</t>
        </is>
      </c>
      <c r="F78" t="inlineStr">
        <is>
          <t>Different User Listed</t>
        </is>
      </c>
      <c r="G78" t="inlineStr">
        <is>
          <t>Wrong User</t>
        </is>
      </c>
      <c r="H78" t="inlineStr">
        <is>
          <t>Medium</t>
        </is>
      </c>
      <c r="I78" t="inlineStr">
        <is>
          <t>Field Support Lead</t>
        </is>
      </c>
      <c r="J78" t="inlineStr">
        <is>
          <t>In Progress</t>
        </is>
      </c>
    </row>
    <row r="79">
      <c r="A79" t="inlineStr">
        <is>
          <t>LAP-00088</t>
        </is>
      </c>
      <c r="B79" t="inlineStr">
        <is>
          <t>DEL13003250</t>
        </is>
      </c>
      <c r="C79" t="inlineStr">
        <is>
          <t>Store-Queens</t>
        </is>
      </c>
      <c r="D79" t="inlineStr">
        <is>
          <t>Store-Queens</t>
        </is>
      </c>
      <c r="E79" t="inlineStr">
        <is>
          <t>Joshua Blair</t>
        </is>
      </c>
      <c r="F79" t="inlineStr">
        <is>
          <t>Different User Listed</t>
        </is>
      </c>
      <c r="G79" t="inlineStr">
        <is>
          <t>Wrong User</t>
        </is>
      </c>
      <c r="H79" t="inlineStr">
        <is>
          <t>Medium</t>
        </is>
      </c>
      <c r="I79" t="inlineStr">
        <is>
          <t>Robert Kim</t>
        </is>
      </c>
      <c r="J79" t="inlineStr">
        <is>
          <t>In Progress</t>
        </is>
      </c>
    </row>
    <row r="80">
      <c r="A80" t="inlineStr">
        <is>
          <t>DSK-00099</t>
        </is>
      </c>
      <c r="B80" t="inlineStr">
        <is>
          <t>HP80117642</t>
        </is>
      </c>
      <c r="C80" t="inlineStr">
        <is>
          <t>DC-NJ</t>
        </is>
      </c>
      <c r="D80" t="inlineStr">
        <is>
          <t>DC-NJ</t>
        </is>
      </c>
      <c r="E80" t="inlineStr">
        <is>
          <t>Brent Jordan</t>
        </is>
      </c>
      <c r="F80" t="inlineStr">
        <is>
          <t>Different User Listed</t>
        </is>
      </c>
      <c r="G80" t="inlineStr">
        <is>
          <t>Wrong User</t>
        </is>
      </c>
      <c r="H80" t="inlineStr">
        <is>
          <t>Medium</t>
        </is>
      </c>
      <c r="I80" t="inlineStr">
        <is>
          <t>IT Service Desk</t>
        </is>
      </c>
      <c r="J80" t="inlineStr">
        <is>
          <t>In Progress</t>
        </is>
      </c>
    </row>
    <row r="81">
      <c r="A81" t="inlineStr">
        <is>
          <t>NET-00117</t>
        </is>
      </c>
      <c r="B81" t="inlineStr">
        <is>
          <t>CIS38791969</t>
        </is>
      </c>
      <c r="C81" t="inlineStr">
        <is>
          <t>DC-NJ</t>
        </is>
      </c>
      <c r="D81" t="inlineStr">
        <is>
          <t>DC-NJ</t>
        </is>
      </c>
      <c r="E81" t="inlineStr">
        <is>
          <t>James Brown</t>
        </is>
      </c>
      <c r="F81" t="inlineStr">
        <is>
          <t>Different User Listed</t>
        </is>
      </c>
      <c r="G81" t="inlineStr">
        <is>
          <t>Wrong User</t>
        </is>
      </c>
      <c r="H81" t="inlineStr">
        <is>
          <t>Medium</t>
        </is>
      </c>
      <c r="I81" t="inlineStr">
        <is>
          <t>Patricia Nguyen</t>
        </is>
      </c>
      <c r="J81" t="inlineStr">
        <is>
          <t>Resolved</t>
        </is>
      </c>
    </row>
    <row r="82">
      <c r="A82" t="inlineStr">
        <is>
          <t>LAP-00001</t>
        </is>
      </c>
      <c r="B82" t="inlineStr">
        <is>
          <t>LEN64480620</t>
        </is>
      </c>
      <c r="C82" t="inlineStr">
        <is>
          <t>DC-NJ</t>
        </is>
      </c>
      <c r="D82" t="inlineStr">
        <is>
          <t>DC-NJ</t>
        </is>
      </c>
      <c r="E82" t="inlineStr">
        <is>
          <t>Maria Gonzalez</t>
        </is>
      </c>
      <c r="F82" t="inlineStr">
        <is>
          <t>Maria Gonzalez</t>
        </is>
      </c>
      <c r="G82" t="inlineStr">
        <is>
          <t>No Exception</t>
        </is>
      </c>
      <c r="H82" t="inlineStr">
        <is>
          <t>Low</t>
        </is>
      </c>
      <c r="I82" t="inlineStr"/>
      <c r="J82" t="inlineStr">
        <is>
          <t>Resolved</t>
        </is>
      </c>
    </row>
    <row r="83">
      <c r="A83" t="inlineStr">
        <is>
          <t>PRT-00005</t>
        </is>
      </c>
      <c r="B83" t="inlineStr">
        <is>
          <t>HP73094867</t>
        </is>
      </c>
      <c r="C83" t="inlineStr">
        <is>
          <t>Store-Brooklyn</t>
        </is>
      </c>
      <c r="D83" t="inlineStr">
        <is>
          <t>Store-Brooklyn</t>
        </is>
      </c>
      <c r="E83" t="inlineStr">
        <is>
          <t>Former Employee</t>
        </is>
      </c>
      <c r="F83" t="inlineStr">
        <is>
          <t>Former Employee</t>
        </is>
      </c>
      <c r="G83" t="inlineStr">
        <is>
          <t>No Exception</t>
        </is>
      </c>
      <c r="H83" t="inlineStr">
        <is>
          <t>Low</t>
        </is>
      </c>
      <c r="I83" t="inlineStr"/>
      <c r="J83" t="inlineStr">
        <is>
          <t>Resolved</t>
        </is>
      </c>
    </row>
    <row r="84">
      <c r="A84" t="inlineStr">
        <is>
          <t>PRT-00006</t>
        </is>
      </c>
      <c r="B84" t="inlineStr">
        <is>
          <t>CAN34405176</t>
        </is>
      </c>
      <c r="C84" t="inlineStr">
        <is>
          <t>Store-Manhattan</t>
        </is>
      </c>
      <c r="D84" t="inlineStr">
        <is>
          <t>Store-Manhattan</t>
        </is>
      </c>
      <c r="E84" t="inlineStr">
        <is>
          <t>Carlos Mendez</t>
        </is>
      </c>
      <c r="F84" t="inlineStr">
        <is>
          <t>Carlos Mendez</t>
        </is>
      </c>
      <c r="G84" t="inlineStr">
        <is>
          <t>No Exception</t>
        </is>
      </c>
      <c r="H84" t="inlineStr">
        <is>
          <t>Low</t>
        </is>
      </c>
      <c r="I84" t="inlineStr"/>
      <c r="J84" t="inlineStr">
        <is>
          <t>Resolved</t>
        </is>
      </c>
    </row>
    <row r="85">
      <c r="A85" t="inlineStr">
        <is>
          <t>MON-00008</t>
        </is>
      </c>
      <c r="B85" t="inlineStr">
        <is>
          <t>LG56941867</t>
        </is>
      </c>
      <c r="C85" t="inlineStr">
        <is>
          <t>DC-PA</t>
        </is>
      </c>
      <c r="D85" t="inlineStr">
        <is>
          <t>DC-PA</t>
        </is>
      </c>
      <c r="E85" t="inlineStr">
        <is>
          <t>Allison Hill</t>
        </is>
      </c>
      <c r="F85" t="inlineStr">
        <is>
          <t>Allison Hill</t>
        </is>
      </c>
      <c r="G85" t="inlineStr">
        <is>
          <t>No Exception</t>
        </is>
      </c>
      <c r="H85" t="inlineStr">
        <is>
          <t>Low</t>
        </is>
      </c>
      <c r="I85" t="inlineStr"/>
      <c r="J85" t="inlineStr">
        <is>
          <t>Resolved</t>
        </is>
      </c>
    </row>
    <row r="86">
      <c r="A86" t="inlineStr">
        <is>
          <t>LAP-00009</t>
        </is>
      </c>
      <c r="B86" t="inlineStr">
        <is>
          <t>LEN82266181</t>
        </is>
      </c>
      <c r="C86" t="inlineStr">
        <is>
          <t>Store-Bronx</t>
        </is>
      </c>
      <c r="D86" t="inlineStr">
        <is>
          <t>Store-Bronx</t>
        </is>
      </c>
      <c r="E86" t="inlineStr">
        <is>
          <t>Noah Rhodes</t>
        </is>
      </c>
      <c r="F86" t="inlineStr">
        <is>
          <t>Noah Rhodes</t>
        </is>
      </c>
      <c r="G86" t="inlineStr">
        <is>
          <t>No Exception</t>
        </is>
      </c>
      <c r="H86" t="inlineStr">
        <is>
          <t>Low</t>
        </is>
      </c>
      <c r="I86" t="inlineStr"/>
      <c r="J86" t="inlineStr">
        <is>
          <t>Resolved</t>
        </is>
      </c>
    </row>
    <row r="87">
      <c r="A87" t="inlineStr">
        <is>
          <t>MON-00010</t>
        </is>
      </c>
      <c r="B87" t="inlineStr">
        <is>
          <t>LG27545501</t>
        </is>
      </c>
      <c r="C87" t="inlineStr">
        <is>
          <t>DC-NY</t>
        </is>
      </c>
      <c r="D87" t="inlineStr">
        <is>
          <t>DC-NY</t>
        </is>
      </c>
      <c r="E87" t="inlineStr">
        <is>
          <t>Unassigned</t>
        </is>
      </c>
      <c r="F87" t="inlineStr">
        <is>
          <t>Unassigned</t>
        </is>
      </c>
      <c r="G87" t="inlineStr">
        <is>
          <t>No Exception</t>
        </is>
      </c>
      <c r="H87" t="inlineStr">
        <is>
          <t>Low</t>
        </is>
      </c>
      <c r="I87" t="inlineStr"/>
      <c r="J87" t="inlineStr">
        <is>
          <t>Resolved</t>
        </is>
      </c>
    </row>
    <row r="88">
      <c r="A88" t="inlineStr">
        <is>
          <t>DSK-00011</t>
        </is>
      </c>
      <c r="B88" t="inlineStr">
        <is>
          <t>DEL07565505</t>
        </is>
      </c>
      <c r="C88" t="inlineStr">
        <is>
          <t>DC-NJ</t>
        </is>
      </c>
      <c r="D88" t="inlineStr">
        <is>
          <t>DC-NJ</t>
        </is>
      </c>
      <c r="E88" t="inlineStr">
        <is>
          <t>Angie Henderson</t>
        </is>
      </c>
      <c r="F88" t="inlineStr">
        <is>
          <t>Angie Henderson</t>
        </is>
      </c>
      <c r="G88" t="inlineStr">
        <is>
          <t>No Exception</t>
        </is>
      </c>
      <c r="H88" t="inlineStr">
        <is>
          <t>Low</t>
        </is>
      </c>
      <c r="I88" t="inlineStr"/>
      <c r="J88" t="inlineStr">
        <is>
          <t>Resolved</t>
        </is>
      </c>
    </row>
    <row r="89">
      <c r="A89" t="inlineStr">
        <is>
          <t>MON-00012</t>
        </is>
      </c>
      <c r="B89" t="inlineStr">
        <is>
          <t>LG24980280</t>
        </is>
      </c>
      <c r="C89" t="inlineStr">
        <is>
          <t>Store-Bronx</t>
        </is>
      </c>
      <c r="D89" t="inlineStr">
        <is>
          <t>Store-Bronx</t>
        </is>
      </c>
      <c r="E89" t="inlineStr">
        <is>
          <t>Daniel Wagner</t>
        </is>
      </c>
      <c r="F89" t="inlineStr">
        <is>
          <t>Daniel Wagner</t>
        </is>
      </c>
      <c r="G89" t="inlineStr">
        <is>
          <t>No Exception</t>
        </is>
      </c>
      <c r="H89" t="inlineStr">
        <is>
          <t>Low</t>
        </is>
      </c>
      <c r="I89" t="inlineStr"/>
      <c r="J89" t="inlineStr">
        <is>
          <t>Resolved</t>
        </is>
      </c>
    </row>
    <row r="90">
      <c r="A90" t="inlineStr">
        <is>
          <t>MON-00013</t>
        </is>
      </c>
      <c r="B90" t="inlineStr">
        <is>
          <t>LG57964448</t>
        </is>
      </c>
      <c r="C90" t="inlineStr">
        <is>
          <t>Store-Bronx</t>
        </is>
      </c>
      <c r="D90" t="inlineStr">
        <is>
          <t>Store-Bronx</t>
        </is>
      </c>
      <c r="E90" t="inlineStr">
        <is>
          <t>Unassigned</t>
        </is>
      </c>
      <c r="F90" t="inlineStr">
        <is>
          <t>Unassigned</t>
        </is>
      </c>
      <c r="G90" t="inlineStr">
        <is>
          <t>No Exception</t>
        </is>
      </c>
      <c r="H90" t="inlineStr">
        <is>
          <t>Low</t>
        </is>
      </c>
      <c r="I90" t="inlineStr"/>
      <c r="J90" t="inlineStr">
        <is>
          <t>Resolved</t>
        </is>
      </c>
    </row>
    <row r="91">
      <c r="A91" t="inlineStr">
        <is>
          <t>DSK-00014</t>
        </is>
      </c>
      <c r="B91" t="inlineStr">
        <is>
          <t>HP64719591</t>
        </is>
      </c>
      <c r="C91" t="inlineStr">
        <is>
          <t>DC-PA</t>
        </is>
      </c>
      <c r="D91" t="inlineStr">
        <is>
          <t>DC-PA</t>
        </is>
      </c>
      <c r="E91" t="inlineStr">
        <is>
          <t>Cristian Santos</t>
        </is>
      </c>
      <c r="F91" t="inlineStr">
        <is>
          <t>Cristian Santos</t>
        </is>
      </c>
      <c r="G91" t="inlineStr">
        <is>
          <t>No Exception</t>
        </is>
      </c>
      <c r="H91" t="inlineStr">
        <is>
          <t>Low</t>
        </is>
      </c>
      <c r="I91" t="inlineStr"/>
      <c r="J91" t="inlineStr">
        <is>
          <t>Resolved</t>
        </is>
      </c>
    </row>
    <row r="92">
      <c r="A92" t="inlineStr">
        <is>
          <t>PRT-00015</t>
        </is>
      </c>
      <c r="B92" t="inlineStr">
        <is>
          <t>CAN66639031</t>
        </is>
      </c>
      <c r="C92" t="inlineStr">
        <is>
          <t>Store-Yonkers</t>
        </is>
      </c>
      <c r="D92" t="inlineStr">
        <is>
          <t>Store-Yonkers</t>
        </is>
      </c>
      <c r="E92" t="inlineStr">
        <is>
          <t>Connie Lawrence</t>
        </is>
      </c>
      <c r="F92" t="inlineStr">
        <is>
          <t>Connie Lawrence</t>
        </is>
      </c>
      <c r="G92" t="inlineStr">
        <is>
          <t>No Exception</t>
        </is>
      </c>
      <c r="H92" t="inlineStr">
        <is>
          <t>Low</t>
        </is>
      </c>
      <c r="I92" t="inlineStr"/>
      <c r="J92" t="inlineStr">
        <is>
          <t>Resolved</t>
        </is>
      </c>
    </row>
    <row r="93">
      <c r="A93" t="inlineStr">
        <is>
          <t>DSK-00016</t>
        </is>
      </c>
      <c r="B93" t="inlineStr">
        <is>
          <t>HP79272774</t>
        </is>
      </c>
      <c r="C93" t="inlineStr">
        <is>
          <t>HQ-Queens</t>
        </is>
      </c>
      <c r="D93" t="inlineStr">
        <is>
          <t>HQ-Queens</t>
        </is>
      </c>
      <c r="E93" t="inlineStr">
        <is>
          <t>Unassigned</t>
        </is>
      </c>
      <c r="F93" t="inlineStr">
        <is>
          <t>Unassigned</t>
        </is>
      </c>
      <c r="G93" t="inlineStr">
        <is>
          <t>No Exception</t>
        </is>
      </c>
      <c r="H93" t="inlineStr">
        <is>
          <t>Low</t>
        </is>
      </c>
      <c r="I93" t="inlineStr"/>
      <c r="J93" t="inlineStr">
        <is>
          <t>Resolved</t>
        </is>
      </c>
    </row>
    <row r="94">
      <c r="A94" t="inlineStr">
        <is>
          <t>PRT-00018</t>
        </is>
      </c>
      <c r="B94" t="inlineStr">
        <is>
          <t>CAN36150660</t>
        </is>
      </c>
      <c r="C94" t="inlineStr">
        <is>
          <t>Store-Stamford</t>
        </is>
      </c>
      <c r="D94" t="inlineStr">
        <is>
          <t>Store-Stamford</t>
        </is>
      </c>
      <c r="E94" t="inlineStr">
        <is>
          <t>Unassigned</t>
        </is>
      </c>
      <c r="F94" t="inlineStr">
        <is>
          <t>Unassigned</t>
        </is>
      </c>
      <c r="G94" t="inlineStr">
        <is>
          <t>No Exception</t>
        </is>
      </c>
      <c r="H94" t="inlineStr">
        <is>
          <t>Low</t>
        </is>
      </c>
      <c r="I94" t="inlineStr"/>
      <c r="J94" t="inlineStr">
        <is>
          <t>Resolved</t>
        </is>
      </c>
    </row>
    <row r="95">
      <c r="A95" t="inlineStr">
        <is>
          <t>MON-00019</t>
        </is>
      </c>
      <c r="B95" t="inlineStr">
        <is>
          <t>DEL61611571</t>
        </is>
      </c>
      <c r="C95" t="inlineStr">
        <is>
          <t>Store-Queens</t>
        </is>
      </c>
      <c r="D95" t="inlineStr">
        <is>
          <t>Store-Queens</t>
        </is>
      </c>
      <c r="E95" t="inlineStr">
        <is>
          <t>Abigail Shaffer</t>
        </is>
      </c>
      <c r="F95" t="inlineStr">
        <is>
          <t>Abigail Shaffer</t>
        </is>
      </c>
      <c r="G95" t="inlineStr">
        <is>
          <t>No Exception</t>
        </is>
      </c>
      <c r="H95" t="inlineStr">
        <is>
          <t>Low</t>
        </is>
      </c>
      <c r="I95" t="inlineStr"/>
      <c r="J95" t="inlineStr">
        <is>
          <t>Resolved</t>
        </is>
      </c>
    </row>
    <row r="96">
      <c r="A96" t="inlineStr">
        <is>
          <t>DSK-00020</t>
        </is>
      </c>
      <c r="B96" t="inlineStr">
        <is>
          <t>HP20194447</t>
        </is>
      </c>
      <c r="C96" t="inlineStr">
        <is>
          <t>HQ-Queens</t>
        </is>
      </c>
      <c r="D96" t="inlineStr">
        <is>
          <t>HQ-Queens</t>
        </is>
      </c>
      <c r="E96" t="inlineStr">
        <is>
          <t>Gina Moore</t>
        </is>
      </c>
      <c r="F96" t="inlineStr">
        <is>
          <t>Gina Moore</t>
        </is>
      </c>
      <c r="G96" t="inlineStr">
        <is>
          <t>No Exception</t>
        </is>
      </c>
      <c r="H96" t="inlineStr">
        <is>
          <t>Low</t>
        </is>
      </c>
      <c r="I96" t="inlineStr"/>
      <c r="J96" t="inlineStr">
        <is>
          <t>Resolved</t>
        </is>
      </c>
    </row>
    <row r="97">
      <c r="A97" t="inlineStr">
        <is>
          <t>LAP-00021</t>
        </is>
      </c>
      <c r="B97" t="inlineStr">
        <is>
          <t>DEL15548293</t>
        </is>
      </c>
      <c r="C97" t="inlineStr">
        <is>
          <t>DC-NY</t>
        </is>
      </c>
      <c r="D97" t="inlineStr">
        <is>
          <t>DC-NY</t>
        </is>
      </c>
      <c r="E97" t="inlineStr">
        <is>
          <t>Gabrielle Davis</t>
        </is>
      </c>
      <c r="F97" t="inlineStr">
        <is>
          <t>Gabrielle Davis</t>
        </is>
      </c>
      <c r="G97" t="inlineStr">
        <is>
          <t>No Exception</t>
        </is>
      </c>
      <c r="H97" t="inlineStr">
        <is>
          <t>Low</t>
        </is>
      </c>
      <c r="I97" t="inlineStr"/>
      <c r="J97" t="inlineStr">
        <is>
          <t>Resolved</t>
        </is>
      </c>
    </row>
    <row r="98">
      <c r="A98" t="inlineStr">
        <is>
          <t>SCN-00022</t>
        </is>
      </c>
      <c r="B98" t="inlineStr">
        <is>
          <t>FUJ08513531</t>
        </is>
      </c>
      <c r="C98" t="inlineStr">
        <is>
          <t>Store-Manhattan</t>
        </is>
      </c>
      <c r="D98" t="inlineStr">
        <is>
          <t>Store-Manhattan</t>
        </is>
      </c>
      <c r="E98" t="inlineStr">
        <is>
          <t>Ryan Munoz</t>
        </is>
      </c>
      <c r="F98" t="inlineStr">
        <is>
          <t>Ryan Munoz</t>
        </is>
      </c>
      <c r="G98" t="inlineStr">
        <is>
          <t>No Exception</t>
        </is>
      </c>
      <c r="H98" t="inlineStr">
        <is>
          <t>Low</t>
        </is>
      </c>
      <c r="I98" t="inlineStr"/>
      <c r="J98" t="inlineStr">
        <is>
          <t>Resolved</t>
        </is>
      </c>
    </row>
    <row r="99">
      <c r="A99" t="inlineStr">
        <is>
          <t>MOB-00023</t>
        </is>
      </c>
      <c r="B99" t="inlineStr">
        <is>
          <t>SAM97316992</t>
        </is>
      </c>
      <c r="C99" t="inlineStr">
        <is>
          <t>Store-Yonkers</t>
        </is>
      </c>
      <c r="D99" t="inlineStr">
        <is>
          <t>Store-Yonkers</t>
        </is>
      </c>
      <c r="E99" t="inlineStr">
        <is>
          <t>Unassigned</t>
        </is>
      </c>
      <c r="F99" t="inlineStr">
        <is>
          <t>Unassigned</t>
        </is>
      </c>
      <c r="G99" t="inlineStr">
        <is>
          <t>No Exception</t>
        </is>
      </c>
      <c r="H99" t="inlineStr">
        <is>
          <t>Low</t>
        </is>
      </c>
      <c r="I99" t="inlineStr"/>
      <c r="J99" t="inlineStr">
        <is>
          <t>Resolved</t>
        </is>
      </c>
    </row>
    <row r="100">
      <c r="A100" t="inlineStr">
        <is>
          <t>DSK-00024</t>
        </is>
      </c>
      <c r="B100" t="inlineStr">
        <is>
          <t>DEL48932962</t>
        </is>
      </c>
      <c r="C100" t="inlineStr">
        <is>
          <t>DC-NY</t>
        </is>
      </c>
      <c r="D100" t="inlineStr">
        <is>
          <t>DC-NY</t>
        </is>
      </c>
      <c r="E100" t="inlineStr">
        <is>
          <t>Monica Herrera</t>
        </is>
      </c>
      <c r="F100" t="inlineStr">
        <is>
          <t>Monica Herrera</t>
        </is>
      </c>
      <c r="G100" t="inlineStr">
        <is>
          <t>No Exception</t>
        </is>
      </c>
      <c r="H100" t="inlineStr">
        <is>
          <t>Low</t>
        </is>
      </c>
      <c r="I100" t="inlineStr"/>
      <c r="J100" t="inlineStr">
        <is>
          <t>Resolved</t>
        </is>
      </c>
    </row>
    <row r="101">
      <c r="A101" t="inlineStr">
        <is>
          <t>LAP-00026</t>
        </is>
      </c>
      <c r="B101" t="inlineStr">
        <is>
          <t>LEN43073643</t>
        </is>
      </c>
      <c r="C101" t="inlineStr">
        <is>
          <t>Store-Yonkers</t>
        </is>
      </c>
      <c r="D101" t="inlineStr">
        <is>
          <t>Store-Yonkers</t>
        </is>
      </c>
      <c r="E101" t="inlineStr">
        <is>
          <t>Unassigned</t>
        </is>
      </c>
      <c r="F101" t="inlineStr">
        <is>
          <t>Unassigned</t>
        </is>
      </c>
      <c r="G101" t="inlineStr">
        <is>
          <t>No Exception</t>
        </is>
      </c>
      <c r="H101" t="inlineStr">
        <is>
          <t>Low</t>
        </is>
      </c>
      <c r="I101" t="inlineStr"/>
      <c r="J101" t="inlineStr">
        <is>
          <t>Resolved</t>
        </is>
      </c>
    </row>
    <row r="102">
      <c r="A102" t="inlineStr">
        <is>
          <t>NET-00027</t>
        </is>
      </c>
      <c r="B102" t="inlineStr">
        <is>
          <t>CIS92010881</t>
        </is>
      </c>
      <c r="C102" t="inlineStr">
        <is>
          <t>DC-NJ</t>
        </is>
      </c>
      <c r="D102" t="inlineStr">
        <is>
          <t>DC-NJ</t>
        </is>
      </c>
      <c r="E102" t="inlineStr">
        <is>
          <t>Lisa Hensley</t>
        </is>
      </c>
      <c r="F102" t="inlineStr">
        <is>
          <t>Lisa Hensley</t>
        </is>
      </c>
      <c r="G102" t="inlineStr">
        <is>
          <t>No Exception</t>
        </is>
      </c>
      <c r="H102" t="inlineStr">
        <is>
          <t>Low</t>
        </is>
      </c>
      <c r="I102" t="inlineStr"/>
      <c r="J102" t="inlineStr">
        <is>
          <t>Resolved</t>
        </is>
      </c>
    </row>
    <row r="103">
      <c r="A103" t="inlineStr">
        <is>
          <t>MON-00028</t>
        </is>
      </c>
      <c r="B103" t="inlineStr">
        <is>
          <t>DEL23973945</t>
        </is>
      </c>
      <c r="C103" t="inlineStr">
        <is>
          <t>DC-PA</t>
        </is>
      </c>
      <c r="D103" t="inlineStr">
        <is>
          <t>DC-PA</t>
        </is>
      </c>
      <c r="E103" t="inlineStr">
        <is>
          <t>Unassigned</t>
        </is>
      </c>
      <c r="F103" t="inlineStr">
        <is>
          <t>Unassigned</t>
        </is>
      </c>
      <c r="G103" t="inlineStr">
        <is>
          <t>No Exception</t>
        </is>
      </c>
      <c r="H103" t="inlineStr">
        <is>
          <t>Low</t>
        </is>
      </c>
      <c r="I103" t="inlineStr"/>
      <c r="J103" t="inlineStr">
        <is>
          <t>Resolved</t>
        </is>
      </c>
    </row>
    <row r="104">
      <c r="A104" t="inlineStr">
        <is>
          <t>PRT-00029</t>
        </is>
      </c>
      <c r="B104" t="inlineStr">
        <is>
          <t>CAN06912596</t>
        </is>
      </c>
      <c r="C104" t="inlineStr">
        <is>
          <t>DC-NJ</t>
        </is>
      </c>
      <c r="D104" t="inlineStr">
        <is>
          <t>DC-NJ</t>
        </is>
      </c>
      <c r="E104" t="inlineStr">
        <is>
          <t>Michele Williams</t>
        </is>
      </c>
      <c r="F104" t="inlineStr">
        <is>
          <t>Michele Williams</t>
        </is>
      </c>
      <c r="G104" t="inlineStr">
        <is>
          <t>No Exception</t>
        </is>
      </c>
      <c r="H104" t="inlineStr">
        <is>
          <t>Low</t>
        </is>
      </c>
      <c r="I104" t="inlineStr"/>
      <c r="J104" t="inlineStr">
        <is>
          <t>Resolved</t>
        </is>
      </c>
    </row>
    <row r="105">
      <c r="A105" t="inlineStr">
        <is>
          <t>MON-00030</t>
        </is>
      </c>
      <c r="B105" t="inlineStr">
        <is>
          <t>DEL07814159</t>
        </is>
      </c>
      <c r="C105" t="inlineStr">
        <is>
          <t>Store-Manhattan</t>
        </is>
      </c>
      <c r="D105" t="inlineStr">
        <is>
          <t>Store-Manhattan</t>
        </is>
      </c>
      <c r="E105" t="inlineStr">
        <is>
          <t>Dylan Miller</t>
        </is>
      </c>
      <c r="F105" t="inlineStr">
        <is>
          <t>Dylan Miller</t>
        </is>
      </c>
      <c r="G105" t="inlineStr">
        <is>
          <t>No Exception</t>
        </is>
      </c>
      <c r="H105" t="inlineStr">
        <is>
          <t>Low</t>
        </is>
      </c>
      <c r="I105" t="inlineStr"/>
      <c r="J105" t="inlineStr">
        <is>
          <t>Resolved</t>
        </is>
      </c>
    </row>
    <row r="106">
      <c r="A106" t="inlineStr">
        <is>
          <t>LAP-00031</t>
        </is>
      </c>
      <c r="B106" t="inlineStr">
        <is>
          <t>LEN39529940</t>
        </is>
      </c>
      <c r="C106" t="inlineStr">
        <is>
          <t>Store-Queens</t>
        </is>
      </c>
      <c r="D106" t="inlineStr">
        <is>
          <t>Store-Queens</t>
        </is>
      </c>
      <c r="E106" t="inlineStr">
        <is>
          <t>Brian Ramirez</t>
        </is>
      </c>
      <c r="F106" t="inlineStr">
        <is>
          <t>Brian Ramirez</t>
        </is>
      </c>
      <c r="G106" t="inlineStr">
        <is>
          <t>No Exception</t>
        </is>
      </c>
      <c r="H106" t="inlineStr">
        <is>
          <t>Low</t>
        </is>
      </c>
      <c r="I106" t="inlineStr"/>
      <c r="J106" t="inlineStr">
        <is>
          <t>Resolved</t>
        </is>
      </c>
    </row>
    <row r="107">
      <c r="A107" t="inlineStr">
        <is>
          <t>MOB-00032</t>
        </is>
      </c>
      <c r="B107" t="inlineStr">
        <is>
          <t>APP74091519</t>
        </is>
      </c>
      <c r="C107" t="inlineStr">
        <is>
          <t>Store-Manhattan</t>
        </is>
      </c>
      <c r="D107" t="inlineStr">
        <is>
          <t>Store-Manhattan</t>
        </is>
      </c>
      <c r="E107" t="inlineStr">
        <is>
          <t>Holly Wood</t>
        </is>
      </c>
      <c r="F107" t="inlineStr">
        <is>
          <t>Holly Wood</t>
        </is>
      </c>
      <c r="G107" t="inlineStr">
        <is>
          <t>No Exception</t>
        </is>
      </c>
      <c r="H107" t="inlineStr">
        <is>
          <t>Low</t>
        </is>
      </c>
      <c r="I107" t="inlineStr"/>
      <c r="J107" t="inlineStr">
        <is>
          <t>Resolved</t>
        </is>
      </c>
    </row>
    <row r="108">
      <c r="A108" t="inlineStr">
        <is>
          <t>MON-00033</t>
        </is>
      </c>
      <c r="B108" t="inlineStr">
        <is>
          <t>DEL61282742</t>
        </is>
      </c>
      <c r="C108" t="inlineStr">
        <is>
          <t>Store-Newark</t>
        </is>
      </c>
      <c r="D108" t="inlineStr">
        <is>
          <t>Store-Newark</t>
        </is>
      </c>
      <c r="E108" t="inlineStr">
        <is>
          <t>Derek Zuniga</t>
        </is>
      </c>
      <c r="F108" t="inlineStr">
        <is>
          <t>Derek Zuniga</t>
        </is>
      </c>
      <c r="G108" t="inlineStr">
        <is>
          <t>No Exception</t>
        </is>
      </c>
      <c r="H108" t="inlineStr">
        <is>
          <t>Low</t>
        </is>
      </c>
      <c r="I108" t="inlineStr"/>
      <c r="J108" t="inlineStr">
        <is>
          <t>Resolved</t>
        </is>
      </c>
    </row>
    <row r="109">
      <c r="A109" t="inlineStr">
        <is>
          <t>NET-00035</t>
        </is>
      </c>
      <c r="B109" t="inlineStr">
        <is>
          <t>UBI97889180</t>
        </is>
      </c>
      <c r="C109" t="inlineStr">
        <is>
          <t>Store-Stamford</t>
        </is>
      </c>
      <c r="D109" t="inlineStr">
        <is>
          <t>Store-Stamford</t>
        </is>
      </c>
      <c r="E109" t="inlineStr">
        <is>
          <t>Lisa Jackson</t>
        </is>
      </c>
      <c r="F109" t="inlineStr">
        <is>
          <t>Lisa Jackson</t>
        </is>
      </c>
      <c r="G109" t="inlineStr">
        <is>
          <t>No Exception</t>
        </is>
      </c>
      <c r="H109" t="inlineStr">
        <is>
          <t>Low</t>
        </is>
      </c>
      <c r="I109" t="inlineStr"/>
      <c r="J109" t="inlineStr">
        <is>
          <t>Resolved</t>
        </is>
      </c>
    </row>
    <row r="110">
      <c r="A110" t="inlineStr">
        <is>
          <t>PRT-00036</t>
        </is>
      </c>
      <c r="B110" t="inlineStr">
        <is>
          <t>CAN91995112</t>
        </is>
      </c>
      <c r="C110" t="inlineStr">
        <is>
          <t>Store-WhitePlains</t>
        </is>
      </c>
      <c r="D110" t="inlineStr">
        <is>
          <t>Store-WhitePlains</t>
        </is>
      </c>
      <c r="E110" t="inlineStr">
        <is>
          <t>Unassigned</t>
        </is>
      </c>
      <c r="F110" t="inlineStr">
        <is>
          <t>Unassigned</t>
        </is>
      </c>
      <c r="G110" t="inlineStr">
        <is>
          <t>No Exception</t>
        </is>
      </c>
      <c r="H110" t="inlineStr">
        <is>
          <t>Low</t>
        </is>
      </c>
      <c r="I110" t="inlineStr"/>
      <c r="J110" t="inlineStr">
        <is>
          <t>Resolved</t>
        </is>
      </c>
    </row>
    <row r="111">
      <c r="A111" t="inlineStr">
        <is>
          <t>MOB-00037</t>
        </is>
      </c>
      <c r="B111" t="inlineStr">
        <is>
          <t>APP11804556</t>
        </is>
      </c>
      <c r="C111" t="inlineStr">
        <is>
          <t>DC-NJ</t>
        </is>
      </c>
      <c r="D111" t="inlineStr">
        <is>
          <t>DC-NJ</t>
        </is>
      </c>
      <c r="E111" t="inlineStr">
        <is>
          <t>Carla Gray</t>
        </is>
      </c>
      <c r="F111" t="inlineStr">
        <is>
          <t>Carla Gray</t>
        </is>
      </c>
      <c r="G111" t="inlineStr">
        <is>
          <t>No Exception</t>
        </is>
      </c>
      <c r="H111" t="inlineStr">
        <is>
          <t>Low</t>
        </is>
      </c>
      <c r="I111" t="inlineStr"/>
      <c r="J111" t="inlineStr">
        <is>
          <t>Resolved</t>
        </is>
      </c>
    </row>
    <row r="112">
      <c r="A112" t="inlineStr">
        <is>
          <t>MON-00038</t>
        </is>
      </c>
      <c r="B112" t="inlineStr">
        <is>
          <t>LG78504182</t>
        </is>
      </c>
      <c r="C112" t="inlineStr">
        <is>
          <t>Store-Queens</t>
        </is>
      </c>
      <c r="D112" t="inlineStr">
        <is>
          <t>Store-Queens</t>
        </is>
      </c>
      <c r="E112" t="inlineStr">
        <is>
          <t>Unassigned</t>
        </is>
      </c>
      <c r="F112" t="inlineStr">
        <is>
          <t>Unassigned</t>
        </is>
      </c>
      <c r="G112" t="inlineStr">
        <is>
          <t>No Exception</t>
        </is>
      </c>
      <c r="H112" t="inlineStr">
        <is>
          <t>Low</t>
        </is>
      </c>
      <c r="I112" t="inlineStr"/>
      <c r="J112" t="inlineStr">
        <is>
          <t>Resolved</t>
        </is>
      </c>
    </row>
    <row r="113">
      <c r="A113" t="inlineStr">
        <is>
          <t>DSK-00039</t>
        </is>
      </c>
      <c r="B113" t="inlineStr">
        <is>
          <t>DEL03958108</t>
        </is>
      </c>
      <c r="C113" t="inlineStr">
        <is>
          <t>DC-PA</t>
        </is>
      </c>
      <c r="D113" t="inlineStr">
        <is>
          <t>DC-PA</t>
        </is>
      </c>
      <c r="E113" t="inlineStr">
        <is>
          <t>Margaret Hawkins DDS</t>
        </is>
      </c>
      <c r="F113" t="inlineStr">
        <is>
          <t>Margaret Hawkins DDS</t>
        </is>
      </c>
      <c r="G113" t="inlineStr">
        <is>
          <t>No Exception</t>
        </is>
      </c>
      <c r="H113" t="inlineStr">
        <is>
          <t>Low</t>
        </is>
      </c>
      <c r="I113" t="inlineStr"/>
      <c r="J113" t="inlineStr">
        <is>
          <t>Resolved</t>
        </is>
      </c>
    </row>
    <row r="114">
      <c r="A114" t="inlineStr">
        <is>
          <t>LAP-00040</t>
        </is>
      </c>
      <c r="B114" t="inlineStr">
        <is>
          <t>LEN89293857</t>
        </is>
      </c>
      <c r="C114" t="inlineStr">
        <is>
          <t>DC-NY</t>
        </is>
      </c>
      <c r="D114" t="inlineStr">
        <is>
          <t>DC-NY</t>
        </is>
      </c>
      <c r="E114" t="inlineStr">
        <is>
          <t>Patty Perez</t>
        </is>
      </c>
      <c r="F114" t="inlineStr">
        <is>
          <t>Patty Perez</t>
        </is>
      </c>
      <c r="G114" t="inlineStr">
        <is>
          <t>No Exception</t>
        </is>
      </c>
      <c r="H114" t="inlineStr">
        <is>
          <t>Low</t>
        </is>
      </c>
      <c r="I114" t="inlineStr"/>
      <c r="J114" t="inlineStr">
        <is>
          <t>Resolved</t>
        </is>
      </c>
    </row>
    <row r="115">
      <c r="A115" t="inlineStr">
        <is>
          <t>MOB-00041</t>
        </is>
      </c>
      <c r="B115" t="inlineStr">
        <is>
          <t>APP35988473</t>
        </is>
      </c>
      <c r="C115" t="inlineStr">
        <is>
          <t>Store-WhitePlains</t>
        </is>
      </c>
      <c r="D115" t="inlineStr">
        <is>
          <t>Store-WhitePlains</t>
        </is>
      </c>
      <c r="E115" t="inlineStr">
        <is>
          <t>Ethan Adams</t>
        </is>
      </c>
      <c r="F115" t="inlineStr">
        <is>
          <t>Ethan Adams</t>
        </is>
      </c>
      <c r="G115" t="inlineStr">
        <is>
          <t>No Exception</t>
        </is>
      </c>
      <c r="H115" t="inlineStr">
        <is>
          <t>Low</t>
        </is>
      </c>
      <c r="I115" t="inlineStr"/>
      <c r="J115" t="inlineStr">
        <is>
          <t>Resolved</t>
        </is>
      </c>
    </row>
    <row r="116">
      <c r="A116" t="inlineStr">
        <is>
          <t>MOB-00042</t>
        </is>
      </c>
      <c r="B116" t="inlineStr">
        <is>
          <t>SAM14623353</t>
        </is>
      </c>
      <c r="C116" t="inlineStr">
        <is>
          <t>Store-WhitePlains</t>
        </is>
      </c>
      <c r="D116" t="inlineStr">
        <is>
          <t>Store-WhitePlains</t>
        </is>
      </c>
      <c r="E116" t="inlineStr">
        <is>
          <t>Tommy Walter</t>
        </is>
      </c>
      <c r="F116" t="inlineStr">
        <is>
          <t>Tommy Walter</t>
        </is>
      </c>
      <c r="G116" t="inlineStr">
        <is>
          <t>No Exception</t>
        </is>
      </c>
      <c r="H116" t="inlineStr">
        <is>
          <t>Low</t>
        </is>
      </c>
      <c r="I116" t="inlineStr"/>
      <c r="J116" t="inlineStr">
        <is>
          <t>Resolved</t>
        </is>
      </c>
    </row>
    <row r="117">
      <c r="A117" t="inlineStr">
        <is>
          <t>MON-00043</t>
        </is>
      </c>
      <c r="B117" t="inlineStr">
        <is>
          <t>DEL79698473</t>
        </is>
      </c>
      <c r="C117" t="inlineStr">
        <is>
          <t>Store-Bronx</t>
        </is>
      </c>
      <c r="D117" t="inlineStr">
        <is>
          <t>Store-Bronx</t>
        </is>
      </c>
      <c r="E117" t="inlineStr">
        <is>
          <t>Unassigned</t>
        </is>
      </c>
      <c r="F117" t="inlineStr">
        <is>
          <t>Unassigned</t>
        </is>
      </c>
      <c r="G117" t="inlineStr">
        <is>
          <t>No Exception</t>
        </is>
      </c>
      <c r="H117" t="inlineStr">
        <is>
          <t>Low</t>
        </is>
      </c>
      <c r="I117" t="inlineStr"/>
      <c r="J117" t="inlineStr">
        <is>
          <t>Resolved</t>
        </is>
      </c>
    </row>
    <row r="118">
      <c r="A118" t="inlineStr">
        <is>
          <t>PRT-00044</t>
        </is>
      </c>
      <c r="B118" t="inlineStr">
        <is>
          <t>CAN55760217</t>
        </is>
      </c>
      <c r="C118" t="inlineStr">
        <is>
          <t>Store-Manhattan</t>
        </is>
      </c>
      <c r="D118" t="inlineStr">
        <is>
          <t>Store-Manhattan</t>
        </is>
      </c>
      <c r="E118" t="inlineStr">
        <is>
          <t>Unassigned</t>
        </is>
      </c>
      <c r="F118" t="inlineStr">
        <is>
          <t>Unassigned</t>
        </is>
      </c>
      <c r="G118" t="inlineStr">
        <is>
          <t>No Exception</t>
        </is>
      </c>
      <c r="H118" t="inlineStr">
        <is>
          <t>Low</t>
        </is>
      </c>
      <c r="I118" t="inlineStr"/>
      <c r="J118" t="inlineStr">
        <is>
          <t>Resolved</t>
        </is>
      </c>
    </row>
    <row r="119">
      <c r="A119" t="inlineStr">
        <is>
          <t>LAP-00045</t>
        </is>
      </c>
      <c r="B119" t="inlineStr">
        <is>
          <t>DEL96606750</t>
        </is>
      </c>
      <c r="C119" t="inlineStr">
        <is>
          <t>DC-PA</t>
        </is>
      </c>
      <c r="D119" t="inlineStr">
        <is>
          <t>DC-PA</t>
        </is>
      </c>
      <c r="E119" t="inlineStr">
        <is>
          <t>Unassigned</t>
        </is>
      </c>
      <c r="F119" t="inlineStr">
        <is>
          <t>Unassigned</t>
        </is>
      </c>
      <c r="G119" t="inlineStr">
        <is>
          <t>No Exception</t>
        </is>
      </c>
      <c r="H119" t="inlineStr">
        <is>
          <t>Low</t>
        </is>
      </c>
      <c r="I119" t="inlineStr"/>
      <c r="J119" t="inlineStr">
        <is>
          <t>Resolved</t>
        </is>
      </c>
    </row>
    <row r="120">
      <c r="A120" t="inlineStr">
        <is>
          <t>LAP-00047</t>
        </is>
      </c>
      <c r="B120" t="inlineStr">
        <is>
          <t>LEN11150544</t>
        </is>
      </c>
      <c r="C120" t="inlineStr">
        <is>
          <t>Store-Bronx</t>
        </is>
      </c>
      <c r="D120" t="inlineStr">
        <is>
          <t>Store-Bronx</t>
        </is>
      </c>
      <c r="E120" t="inlineStr">
        <is>
          <t>Matthew Foster</t>
        </is>
      </c>
      <c r="F120" t="inlineStr">
        <is>
          <t>Matthew Foster</t>
        </is>
      </c>
      <c r="G120" t="inlineStr">
        <is>
          <t>No Exception</t>
        </is>
      </c>
      <c r="H120" t="inlineStr">
        <is>
          <t>Low</t>
        </is>
      </c>
      <c r="I120" t="inlineStr"/>
      <c r="J120" t="inlineStr">
        <is>
          <t>Resolved</t>
        </is>
      </c>
    </row>
    <row r="121">
      <c r="A121" t="inlineStr">
        <is>
          <t>MOB-00048</t>
        </is>
      </c>
      <c r="B121" t="inlineStr">
        <is>
          <t>SAM25198171</t>
        </is>
      </c>
      <c r="C121" t="inlineStr">
        <is>
          <t>Store-Manhattan</t>
        </is>
      </c>
      <c r="D121" t="inlineStr">
        <is>
          <t>Store-Manhattan</t>
        </is>
      </c>
      <c r="E121" t="inlineStr">
        <is>
          <t>Judy Baker</t>
        </is>
      </c>
      <c r="F121" t="inlineStr">
        <is>
          <t>Judy Baker</t>
        </is>
      </c>
      <c r="G121" t="inlineStr">
        <is>
          <t>No Exception</t>
        </is>
      </c>
      <c r="H121" t="inlineStr">
        <is>
          <t>Low</t>
        </is>
      </c>
      <c r="I121" t="inlineStr"/>
      <c r="J121" t="inlineStr">
        <is>
          <t>Resolved</t>
        </is>
      </c>
    </row>
    <row r="122">
      <c r="A122" t="inlineStr">
        <is>
          <t>MON-00049</t>
        </is>
      </c>
      <c r="B122" t="inlineStr">
        <is>
          <t>DEL26737887</t>
        </is>
      </c>
      <c r="C122" t="inlineStr">
        <is>
          <t>DC-NJ</t>
        </is>
      </c>
      <c r="D122" t="inlineStr">
        <is>
          <t>DC-NJ</t>
        </is>
      </c>
      <c r="E122" t="inlineStr">
        <is>
          <t>Justin Baker</t>
        </is>
      </c>
      <c r="F122" t="inlineStr">
        <is>
          <t>Justin Baker</t>
        </is>
      </c>
      <c r="G122" t="inlineStr">
        <is>
          <t>No Exception</t>
        </is>
      </c>
      <c r="H122" t="inlineStr">
        <is>
          <t>Low</t>
        </is>
      </c>
      <c r="I122" t="inlineStr"/>
      <c r="J122" t="inlineStr">
        <is>
          <t>Resolved</t>
        </is>
      </c>
    </row>
    <row r="123">
      <c r="A123" t="inlineStr">
        <is>
          <t>MON-00052</t>
        </is>
      </c>
      <c r="B123" t="inlineStr">
        <is>
          <t>LG11450650</t>
        </is>
      </c>
      <c r="C123" t="inlineStr">
        <is>
          <t>HQ-Queens</t>
        </is>
      </c>
      <c r="D123" t="inlineStr">
        <is>
          <t>HQ-Queens</t>
        </is>
      </c>
      <c r="E123" t="inlineStr">
        <is>
          <t>Unassigned</t>
        </is>
      </c>
      <c r="F123" t="inlineStr">
        <is>
          <t>Unassigned</t>
        </is>
      </c>
      <c r="G123" t="inlineStr">
        <is>
          <t>No Exception</t>
        </is>
      </c>
      <c r="H123" t="inlineStr">
        <is>
          <t>Low</t>
        </is>
      </c>
      <c r="I123" t="inlineStr"/>
      <c r="J123" t="inlineStr">
        <is>
          <t>Resolved</t>
        </is>
      </c>
    </row>
    <row r="124">
      <c r="A124" t="inlineStr">
        <is>
          <t>LAP-00053</t>
        </is>
      </c>
      <c r="B124" t="inlineStr">
        <is>
          <t>LEN34035977</t>
        </is>
      </c>
      <c r="C124" t="inlineStr">
        <is>
          <t>Store-Brooklyn</t>
        </is>
      </c>
      <c r="D124" t="inlineStr">
        <is>
          <t>Store-Brooklyn</t>
        </is>
      </c>
      <c r="E124" t="inlineStr">
        <is>
          <t>Anthony Rodriguez</t>
        </is>
      </c>
      <c r="F124" t="inlineStr">
        <is>
          <t>Anthony Rodriguez</t>
        </is>
      </c>
      <c r="G124" t="inlineStr">
        <is>
          <t>No Exception</t>
        </is>
      </c>
      <c r="H124" t="inlineStr">
        <is>
          <t>Low</t>
        </is>
      </c>
      <c r="I124" t="inlineStr"/>
      <c r="J124" t="inlineStr">
        <is>
          <t>Resolved</t>
        </is>
      </c>
    </row>
    <row r="125">
      <c r="A125" t="inlineStr">
        <is>
          <t>SCN-00054</t>
        </is>
      </c>
      <c r="B125" t="inlineStr">
        <is>
          <t>FUJ78016906</t>
        </is>
      </c>
      <c r="C125" t="inlineStr">
        <is>
          <t>DC-NJ</t>
        </is>
      </c>
      <c r="D125" t="inlineStr">
        <is>
          <t>DC-NJ</t>
        </is>
      </c>
      <c r="E125" t="inlineStr">
        <is>
          <t>Unassigned</t>
        </is>
      </c>
      <c r="F125" t="inlineStr">
        <is>
          <t>Unassigned</t>
        </is>
      </c>
      <c r="G125" t="inlineStr">
        <is>
          <t>No Exception</t>
        </is>
      </c>
      <c r="H125" t="inlineStr">
        <is>
          <t>Low</t>
        </is>
      </c>
      <c r="I125" t="inlineStr"/>
      <c r="J125" t="inlineStr">
        <is>
          <t>Resolved</t>
        </is>
      </c>
    </row>
    <row r="126">
      <c r="A126" t="inlineStr">
        <is>
          <t>LAP-00055</t>
        </is>
      </c>
      <c r="B126" t="inlineStr">
        <is>
          <t>LEN22418781</t>
        </is>
      </c>
      <c r="C126" t="inlineStr">
        <is>
          <t>Store-WhitePlains</t>
        </is>
      </c>
      <c r="D126" t="inlineStr">
        <is>
          <t>Store-WhitePlains</t>
        </is>
      </c>
      <c r="E126" t="inlineStr">
        <is>
          <t>Unassigned</t>
        </is>
      </c>
      <c r="F126" t="inlineStr">
        <is>
          <t>Unassigned</t>
        </is>
      </c>
      <c r="G126" t="inlineStr">
        <is>
          <t>No Exception</t>
        </is>
      </c>
      <c r="H126" t="inlineStr">
        <is>
          <t>Low</t>
        </is>
      </c>
      <c r="I126" t="inlineStr"/>
      <c r="J126" t="inlineStr">
        <is>
          <t>Resolved</t>
        </is>
      </c>
    </row>
    <row r="127">
      <c r="A127" t="inlineStr">
        <is>
          <t>LAP-00056</t>
        </is>
      </c>
      <c r="B127" t="inlineStr">
        <is>
          <t>DEL10869892</t>
        </is>
      </c>
      <c r="C127" t="inlineStr">
        <is>
          <t>Store-Stamford</t>
        </is>
      </c>
      <c r="D127" t="inlineStr">
        <is>
          <t>Store-Stamford</t>
        </is>
      </c>
      <c r="E127" t="inlineStr">
        <is>
          <t>Rebecca Henderson</t>
        </is>
      </c>
      <c r="F127" t="inlineStr">
        <is>
          <t>Rebecca Henderson</t>
        </is>
      </c>
      <c r="G127" t="inlineStr">
        <is>
          <t>No Exception</t>
        </is>
      </c>
      <c r="H127" t="inlineStr">
        <is>
          <t>Low</t>
        </is>
      </c>
      <c r="I127" t="inlineStr"/>
      <c r="J127" t="inlineStr">
        <is>
          <t>Resolved</t>
        </is>
      </c>
    </row>
    <row r="128">
      <c r="A128" t="inlineStr">
        <is>
          <t>DSK-00057</t>
        </is>
      </c>
      <c r="B128" t="inlineStr">
        <is>
          <t>HP17868840</t>
        </is>
      </c>
      <c r="C128" t="inlineStr">
        <is>
          <t>Store-Stamford</t>
        </is>
      </c>
      <c r="D128" t="inlineStr">
        <is>
          <t>Store-Stamford</t>
        </is>
      </c>
      <c r="E128" t="inlineStr">
        <is>
          <t>James Ferrell</t>
        </is>
      </c>
      <c r="F128" t="inlineStr">
        <is>
          <t>James Ferrell</t>
        </is>
      </c>
      <c r="G128" t="inlineStr">
        <is>
          <t>No Exception</t>
        </is>
      </c>
      <c r="H128" t="inlineStr">
        <is>
          <t>Low</t>
        </is>
      </c>
      <c r="I128" t="inlineStr"/>
      <c r="J128" t="inlineStr">
        <is>
          <t>Resolved</t>
        </is>
      </c>
    </row>
    <row r="129">
      <c r="A129" t="inlineStr">
        <is>
          <t>PRT-00058</t>
        </is>
      </c>
      <c r="B129" t="inlineStr">
        <is>
          <t>CAN56084187</t>
        </is>
      </c>
      <c r="C129" t="inlineStr">
        <is>
          <t>DC-PA</t>
        </is>
      </c>
      <c r="D129" t="inlineStr">
        <is>
          <t>DC-PA</t>
        </is>
      </c>
      <c r="E129" t="inlineStr">
        <is>
          <t>Unassigned</t>
        </is>
      </c>
      <c r="F129" t="inlineStr">
        <is>
          <t>Unassigned</t>
        </is>
      </c>
      <c r="G129" t="inlineStr">
        <is>
          <t>No Exception</t>
        </is>
      </c>
      <c r="H129" t="inlineStr">
        <is>
          <t>Low</t>
        </is>
      </c>
      <c r="I129" t="inlineStr"/>
      <c r="J129" t="inlineStr">
        <is>
          <t>Resolved</t>
        </is>
      </c>
    </row>
    <row r="130">
      <c r="A130" t="inlineStr">
        <is>
          <t>LAP-00059</t>
        </is>
      </c>
      <c r="B130" t="inlineStr">
        <is>
          <t>DEL76500600</t>
        </is>
      </c>
      <c r="C130" t="inlineStr">
        <is>
          <t>DC-PA</t>
        </is>
      </c>
      <c r="D130" t="inlineStr">
        <is>
          <t>DC-PA</t>
        </is>
      </c>
      <c r="E130" t="inlineStr">
        <is>
          <t>Unassigned</t>
        </is>
      </c>
      <c r="F130" t="inlineStr">
        <is>
          <t>Unassigned</t>
        </is>
      </c>
      <c r="G130" t="inlineStr">
        <is>
          <t>No Exception</t>
        </is>
      </c>
      <c r="H130" t="inlineStr">
        <is>
          <t>Low</t>
        </is>
      </c>
      <c r="I130" t="inlineStr"/>
      <c r="J130" t="inlineStr">
        <is>
          <t>Resolved</t>
        </is>
      </c>
    </row>
    <row r="131">
      <c r="A131" t="inlineStr">
        <is>
          <t>DSK-00060</t>
        </is>
      </c>
      <c r="B131" t="inlineStr">
        <is>
          <t>DEL71395457</t>
        </is>
      </c>
      <c r="C131" t="inlineStr">
        <is>
          <t>Store-Stamford</t>
        </is>
      </c>
      <c r="D131" t="inlineStr">
        <is>
          <t>Store-Stamford</t>
        </is>
      </c>
      <c r="E131" t="inlineStr">
        <is>
          <t>Tricia Valencia</t>
        </is>
      </c>
      <c r="F131" t="inlineStr">
        <is>
          <t>Tricia Valencia</t>
        </is>
      </c>
      <c r="G131" t="inlineStr">
        <is>
          <t>No Exception</t>
        </is>
      </c>
      <c r="H131" t="inlineStr">
        <is>
          <t>Low</t>
        </is>
      </c>
      <c r="I131" t="inlineStr"/>
      <c r="J131" t="inlineStr">
        <is>
          <t>Resolved</t>
        </is>
      </c>
    </row>
    <row r="132">
      <c r="A132" t="inlineStr">
        <is>
          <t>DSK-00061</t>
        </is>
      </c>
      <c r="B132" t="inlineStr">
        <is>
          <t>DEL53455626</t>
        </is>
      </c>
      <c r="C132" t="inlineStr">
        <is>
          <t>Store-WhitePlains</t>
        </is>
      </c>
      <c r="D132" t="inlineStr">
        <is>
          <t>Store-WhitePlains</t>
        </is>
      </c>
      <c r="E132" t="inlineStr">
        <is>
          <t>Nathan Maldonado</t>
        </is>
      </c>
      <c r="F132" t="inlineStr">
        <is>
          <t>Nathan Maldonado</t>
        </is>
      </c>
      <c r="G132" t="inlineStr">
        <is>
          <t>No Exception</t>
        </is>
      </c>
      <c r="H132" t="inlineStr">
        <is>
          <t>Low</t>
        </is>
      </c>
      <c r="I132" t="inlineStr"/>
      <c r="J132" t="inlineStr">
        <is>
          <t>Resolved</t>
        </is>
      </c>
    </row>
    <row r="133">
      <c r="A133" t="inlineStr">
        <is>
          <t>PRT-00062</t>
        </is>
      </c>
      <c r="B133" t="inlineStr">
        <is>
          <t>CAN94119192</t>
        </is>
      </c>
      <c r="C133" t="inlineStr">
        <is>
          <t>HQ-Queens</t>
        </is>
      </c>
      <c r="D133" t="inlineStr">
        <is>
          <t>HQ-Queens</t>
        </is>
      </c>
      <c r="E133" t="inlineStr">
        <is>
          <t>Unassigned</t>
        </is>
      </c>
      <c r="F133" t="inlineStr">
        <is>
          <t>Unassigned</t>
        </is>
      </c>
      <c r="G133" t="inlineStr">
        <is>
          <t>No Exception</t>
        </is>
      </c>
      <c r="H133" t="inlineStr">
        <is>
          <t>Low</t>
        </is>
      </c>
      <c r="I133" t="inlineStr"/>
      <c r="J133" t="inlineStr">
        <is>
          <t>Resolved</t>
        </is>
      </c>
    </row>
    <row r="134">
      <c r="A134" t="inlineStr">
        <is>
          <t>LAP-00063</t>
        </is>
      </c>
      <c r="B134" t="inlineStr">
        <is>
          <t>LEN94148295</t>
        </is>
      </c>
      <c r="C134" t="inlineStr">
        <is>
          <t>Store-Bronx</t>
        </is>
      </c>
      <c r="D134" t="inlineStr">
        <is>
          <t>Store-Bronx</t>
        </is>
      </c>
      <c r="E134" t="inlineStr">
        <is>
          <t>Unassigned</t>
        </is>
      </c>
      <c r="F134" t="inlineStr">
        <is>
          <t>Unassigned</t>
        </is>
      </c>
      <c r="G134" t="inlineStr">
        <is>
          <t>No Exception</t>
        </is>
      </c>
      <c r="H134" t="inlineStr">
        <is>
          <t>Low</t>
        </is>
      </c>
      <c r="I134" t="inlineStr"/>
      <c r="J134" t="inlineStr">
        <is>
          <t>Resolved</t>
        </is>
      </c>
    </row>
    <row r="135">
      <c r="A135" t="inlineStr">
        <is>
          <t>MOB-00064</t>
        </is>
      </c>
      <c r="B135" t="inlineStr">
        <is>
          <t>APP12053557</t>
        </is>
      </c>
      <c r="C135" t="inlineStr">
        <is>
          <t>Store-Bronx</t>
        </is>
      </c>
      <c r="D135" t="inlineStr">
        <is>
          <t>Store-Bronx</t>
        </is>
      </c>
      <c r="E135" t="inlineStr">
        <is>
          <t>Debra Davidson</t>
        </is>
      </c>
      <c r="F135" t="inlineStr">
        <is>
          <t>Debra Davidson</t>
        </is>
      </c>
      <c r="G135" t="inlineStr">
        <is>
          <t>No Exception</t>
        </is>
      </c>
      <c r="H135" t="inlineStr">
        <is>
          <t>Low</t>
        </is>
      </c>
      <c r="I135" t="inlineStr"/>
      <c r="J135" t="inlineStr">
        <is>
          <t>Resolved</t>
        </is>
      </c>
    </row>
    <row r="136">
      <c r="A136" t="inlineStr">
        <is>
          <t>SCN-00065</t>
        </is>
      </c>
      <c r="B136" t="inlineStr">
        <is>
          <t>FUJ35145653</t>
        </is>
      </c>
      <c r="C136" t="inlineStr">
        <is>
          <t>Store-WhitePlains</t>
        </is>
      </c>
      <c r="D136" t="inlineStr">
        <is>
          <t>Store-WhitePlains</t>
        </is>
      </c>
      <c r="E136" t="inlineStr">
        <is>
          <t>Jeffrey Chavez</t>
        </is>
      </c>
      <c r="F136" t="inlineStr">
        <is>
          <t>Jeffrey Chavez</t>
        </is>
      </c>
      <c r="G136" t="inlineStr">
        <is>
          <t>No Exception</t>
        </is>
      </c>
      <c r="H136" t="inlineStr">
        <is>
          <t>Low</t>
        </is>
      </c>
      <c r="I136" t="inlineStr"/>
      <c r="J136" t="inlineStr">
        <is>
          <t>Resolved</t>
        </is>
      </c>
    </row>
    <row r="137">
      <c r="A137" t="inlineStr">
        <is>
          <t>NET-00066</t>
        </is>
      </c>
      <c r="B137" t="inlineStr">
        <is>
          <t>UBI85752723</t>
        </is>
      </c>
      <c r="C137" t="inlineStr">
        <is>
          <t>Store-Manhattan</t>
        </is>
      </c>
      <c r="D137" t="inlineStr">
        <is>
          <t>Store-Manhattan</t>
        </is>
      </c>
      <c r="E137" t="inlineStr">
        <is>
          <t>Unassigned</t>
        </is>
      </c>
      <c r="F137" t="inlineStr">
        <is>
          <t>Unassigned</t>
        </is>
      </c>
      <c r="G137" t="inlineStr">
        <is>
          <t>No Exception</t>
        </is>
      </c>
      <c r="H137" t="inlineStr">
        <is>
          <t>Low</t>
        </is>
      </c>
      <c r="I137" t="inlineStr"/>
      <c r="J137" t="inlineStr">
        <is>
          <t>Resolved</t>
        </is>
      </c>
    </row>
    <row r="138">
      <c r="A138" t="inlineStr">
        <is>
          <t>SCN-00067</t>
        </is>
      </c>
      <c r="B138" t="inlineStr">
        <is>
          <t>FUJ88800253</t>
        </is>
      </c>
      <c r="C138" t="inlineStr">
        <is>
          <t>Store-Stamford</t>
        </is>
      </c>
      <c r="D138" t="inlineStr">
        <is>
          <t>Store-Stamford</t>
        </is>
      </c>
      <c r="E138" t="inlineStr">
        <is>
          <t>Sherri Baker</t>
        </is>
      </c>
      <c r="F138" t="inlineStr">
        <is>
          <t>Sherri Baker</t>
        </is>
      </c>
      <c r="G138" t="inlineStr">
        <is>
          <t>No Exception</t>
        </is>
      </c>
      <c r="H138" t="inlineStr">
        <is>
          <t>Low</t>
        </is>
      </c>
      <c r="I138" t="inlineStr"/>
      <c r="J138" t="inlineStr">
        <is>
          <t>Resolved</t>
        </is>
      </c>
    </row>
    <row r="139">
      <c r="A139" t="inlineStr">
        <is>
          <t>DSK-00069</t>
        </is>
      </c>
      <c r="B139" t="inlineStr">
        <is>
          <t>DEL09474376</t>
        </is>
      </c>
      <c r="C139" t="inlineStr">
        <is>
          <t>Store-WhitePlains</t>
        </is>
      </c>
      <c r="D139" t="inlineStr">
        <is>
          <t>Store-WhitePlains</t>
        </is>
      </c>
      <c r="E139" t="inlineStr">
        <is>
          <t>Elizabeth Fowler</t>
        </is>
      </c>
      <c r="F139" t="inlineStr">
        <is>
          <t>Elizabeth Fowler</t>
        </is>
      </c>
      <c r="G139" t="inlineStr">
        <is>
          <t>No Exception</t>
        </is>
      </c>
      <c r="H139" t="inlineStr">
        <is>
          <t>Low</t>
        </is>
      </c>
      <c r="I139" t="inlineStr"/>
      <c r="J139" t="inlineStr">
        <is>
          <t>Resolved</t>
        </is>
      </c>
    </row>
    <row r="140">
      <c r="A140" t="inlineStr">
        <is>
          <t>LAP-00070</t>
        </is>
      </c>
      <c r="B140" t="inlineStr">
        <is>
          <t>HP62754171</t>
        </is>
      </c>
      <c r="C140" t="inlineStr">
        <is>
          <t>Store-Yonkers</t>
        </is>
      </c>
      <c r="D140" t="inlineStr">
        <is>
          <t>Store-Yonkers</t>
        </is>
      </c>
      <c r="E140" t="inlineStr">
        <is>
          <t>Unassigned</t>
        </is>
      </c>
      <c r="F140" t="inlineStr">
        <is>
          <t>Unassigned</t>
        </is>
      </c>
      <c r="G140" t="inlineStr">
        <is>
          <t>No Exception</t>
        </is>
      </c>
      <c r="H140" t="inlineStr">
        <is>
          <t>Low</t>
        </is>
      </c>
      <c r="I140" t="inlineStr"/>
      <c r="J140" t="inlineStr">
        <is>
          <t>Resolved</t>
        </is>
      </c>
    </row>
    <row r="141">
      <c r="A141" t="inlineStr">
        <is>
          <t>PRT-00071</t>
        </is>
      </c>
      <c r="B141" t="inlineStr">
        <is>
          <t>HP89615483</t>
        </is>
      </c>
      <c r="C141" t="inlineStr">
        <is>
          <t>Store-Stamford</t>
        </is>
      </c>
      <c r="D141" t="inlineStr">
        <is>
          <t>Store-Stamford</t>
        </is>
      </c>
      <c r="E141" t="inlineStr">
        <is>
          <t>Unassigned</t>
        </is>
      </c>
      <c r="F141" t="inlineStr">
        <is>
          <t>Unassigned</t>
        </is>
      </c>
      <c r="G141" t="inlineStr">
        <is>
          <t>No Exception</t>
        </is>
      </c>
      <c r="H141" t="inlineStr">
        <is>
          <t>Low</t>
        </is>
      </c>
      <c r="I141" t="inlineStr"/>
      <c r="J141" t="inlineStr">
        <is>
          <t>Resolved</t>
        </is>
      </c>
    </row>
    <row r="142">
      <c r="A142" t="inlineStr">
        <is>
          <t>DSK-00072</t>
        </is>
      </c>
      <c r="B142" t="inlineStr">
        <is>
          <t>HP91312990</t>
        </is>
      </c>
      <c r="C142" t="inlineStr">
        <is>
          <t>DC-NY</t>
        </is>
      </c>
      <c r="D142" t="inlineStr">
        <is>
          <t>DC-NY</t>
        </is>
      </c>
      <c r="E142" t="inlineStr">
        <is>
          <t>Brittany Farmer</t>
        </is>
      </c>
      <c r="F142" t="inlineStr">
        <is>
          <t>Brittany Farmer</t>
        </is>
      </c>
      <c r="G142" t="inlineStr">
        <is>
          <t>No Exception</t>
        </is>
      </c>
      <c r="H142" t="inlineStr">
        <is>
          <t>Low</t>
        </is>
      </c>
      <c r="I142" t="inlineStr"/>
      <c r="J142" t="inlineStr">
        <is>
          <t>Resolved</t>
        </is>
      </c>
    </row>
    <row r="143">
      <c r="A143" t="inlineStr">
        <is>
          <t>MON-00074</t>
        </is>
      </c>
      <c r="B143" t="inlineStr">
        <is>
          <t>LG60737583</t>
        </is>
      </c>
      <c r="C143" t="inlineStr">
        <is>
          <t>Store-WhitePlains</t>
        </is>
      </c>
      <c r="D143" t="inlineStr">
        <is>
          <t>Store-WhitePlains</t>
        </is>
      </c>
      <c r="E143" t="inlineStr">
        <is>
          <t>Unassigned</t>
        </is>
      </c>
      <c r="F143" t="inlineStr">
        <is>
          <t>Unassigned</t>
        </is>
      </c>
      <c r="G143" t="inlineStr">
        <is>
          <t>No Exception</t>
        </is>
      </c>
      <c r="H143" t="inlineStr">
        <is>
          <t>Low</t>
        </is>
      </c>
      <c r="I143" t="inlineStr"/>
      <c r="J143" t="inlineStr">
        <is>
          <t>Resolved</t>
        </is>
      </c>
    </row>
    <row r="144">
      <c r="A144" t="inlineStr">
        <is>
          <t>NET-00075</t>
        </is>
      </c>
      <c r="B144" t="inlineStr">
        <is>
          <t>UBI35493518</t>
        </is>
      </c>
      <c r="C144" t="inlineStr">
        <is>
          <t>Store-Stamford</t>
        </is>
      </c>
      <c r="D144" t="inlineStr">
        <is>
          <t>Store-Stamford</t>
        </is>
      </c>
      <c r="E144" t="inlineStr">
        <is>
          <t>Fred Smith</t>
        </is>
      </c>
      <c r="F144" t="inlineStr">
        <is>
          <t>Fred Smith</t>
        </is>
      </c>
      <c r="G144" t="inlineStr">
        <is>
          <t>No Exception</t>
        </is>
      </c>
      <c r="H144" t="inlineStr">
        <is>
          <t>Low</t>
        </is>
      </c>
      <c r="I144" t="inlineStr"/>
      <c r="J144" t="inlineStr">
        <is>
          <t>Resolved</t>
        </is>
      </c>
    </row>
    <row r="145">
      <c r="A145" t="inlineStr">
        <is>
          <t>PRT-00076</t>
        </is>
      </c>
      <c r="B145" t="inlineStr">
        <is>
          <t>HP03996631</t>
        </is>
      </c>
      <c r="C145" t="inlineStr">
        <is>
          <t>Store-Queens</t>
        </is>
      </c>
      <c r="D145" t="inlineStr">
        <is>
          <t>Store-Queens</t>
        </is>
      </c>
      <c r="E145" t="inlineStr">
        <is>
          <t>Unassigned</t>
        </is>
      </c>
      <c r="F145" t="inlineStr">
        <is>
          <t>Unassigned</t>
        </is>
      </c>
      <c r="G145" t="inlineStr">
        <is>
          <t>No Exception</t>
        </is>
      </c>
      <c r="H145" t="inlineStr">
        <is>
          <t>Low</t>
        </is>
      </c>
      <c r="I145" t="inlineStr"/>
      <c r="J145" t="inlineStr">
        <is>
          <t>Resolved</t>
        </is>
      </c>
    </row>
    <row r="146">
      <c r="A146" t="inlineStr">
        <is>
          <t>LAP-00077</t>
        </is>
      </c>
      <c r="B146" t="inlineStr">
        <is>
          <t>DEL64431550</t>
        </is>
      </c>
      <c r="C146" t="inlineStr">
        <is>
          <t>Store-Queens</t>
        </is>
      </c>
      <c r="D146" t="inlineStr">
        <is>
          <t>Store-Queens</t>
        </is>
      </c>
      <c r="E146" t="inlineStr">
        <is>
          <t>Sherry Decker</t>
        </is>
      </c>
      <c r="F146" t="inlineStr">
        <is>
          <t>Sherry Decker</t>
        </is>
      </c>
      <c r="G146" t="inlineStr">
        <is>
          <t>No Exception</t>
        </is>
      </c>
      <c r="H146" t="inlineStr">
        <is>
          <t>Low</t>
        </is>
      </c>
      <c r="I146" t="inlineStr"/>
      <c r="J146" t="inlineStr">
        <is>
          <t>Resolved</t>
        </is>
      </c>
    </row>
    <row r="147">
      <c r="A147" t="inlineStr">
        <is>
          <t>PRT-00078</t>
        </is>
      </c>
      <c r="B147" t="inlineStr">
        <is>
          <t>HP86849769</t>
        </is>
      </c>
      <c r="C147" t="inlineStr">
        <is>
          <t>Store-Bronx</t>
        </is>
      </c>
      <c r="D147" t="inlineStr">
        <is>
          <t>Store-Bronx</t>
        </is>
      </c>
      <c r="E147" t="inlineStr">
        <is>
          <t>Unassigned</t>
        </is>
      </c>
      <c r="F147" t="inlineStr">
        <is>
          <t>Unassigned</t>
        </is>
      </c>
      <c r="G147" t="inlineStr">
        <is>
          <t>No Exception</t>
        </is>
      </c>
      <c r="H147" t="inlineStr">
        <is>
          <t>Low</t>
        </is>
      </c>
      <c r="I147" t="inlineStr"/>
      <c r="J147" t="inlineStr">
        <is>
          <t>Resolved</t>
        </is>
      </c>
    </row>
    <row r="148">
      <c r="A148" t="inlineStr">
        <is>
          <t>DSK-00081</t>
        </is>
      </c>
      <c r="B148" t="inlineStr">
        <is>
          <t>HP84392407</t>
        </is>
      </c>
      <c r="C148" t="inlineStr">
        <is>
          <t>DC-NY</t>
        </is>
      </c>
      <c r="D148" t="inlineStr">
        <is>
          <t>DC-NY</t>
        </is>
      </c>
      <c r="E148" t="inlineStr">
        <is>
          <t>Angelica Tucker</t>
        </is>
      </c>
      <c r="F148" t="inlineStr">
        <is>
          <t>Angelica Tucker</t>
        </is>
      </c>
      <c r="G148" t="inlineStr">
        <is>
          <t>No Exception</t>
        </is>
      </c>
      <c r="H148" t="inlineStr">
        <is>
          <t>Low</t>
        </is>
      </c>
      <c r="I148" t="inlineStr"/>
      <c r="J148" t="inlineStr">
        <is>
          <t>Resolved</t>
        </is>
      </c>
    </row>
    <row r="149">
      <c r="A149" t="inlineStr">
        <is>
          <t>MOB-00082</t>
        </is>
      </c>
      <c r="B149" t="inlineStr">
        <is>
          <t>SAM48200390</t>
        </is>
      </c>
      <c r="C149" t="inlineStr">
        <is>
          <t>DC-NJ</t>
        </is>
      </c>
      <c r="D149" t="inlineStr">
        <is>
          <t>DC-NJ</t>
        </is>
      </c>
      <c r="E149" t="inlineStr">
        <is>
          <t>Philip Cannon</t>
        </is>
      </c>
      <c r="F149" t="inlineStr">
        <is>
          <t>Philip Cannon</t>
        </is>
      </c>
      <c r="G149" t="inlineStr">
        <is>
          <t>No Exception</t>
        </is>
      </c>
      <c r="H149" t="inlineStr">
        <is>
          <t>Low</t>
        </is>
      </c>
      <c r="I149" t="inlineStr"/>
      <c r="J149" t="inlineStr">
        <is>
          <t>Resolved</t>
        </is>
      </c>
    </row>
    <row r="150">
      <c r="A150" t="inlineStr">
        <is>
          <t>PRT-00083</t>
        </is>
      </c>
      <c r="B150" t="inlineStr">
        <is>
          <t>HP08773830</t>
        </is>
      </c>
      <c r="C150" t="inlineStr">
        <is>
          <t>DC-NJ</t>
        </is>
      </c>
      <c r="D150" t="inlineStr">
        <is>
          <t>DC-NJ</t>
        </is>
      </c>
      <c r="E150" t="inlineStr">
        <is>
          <t>Unassigned</t>
        </is>
      </c>
      <c r="F150" t="inlineStr">
        <is>
          <t>Unassigned</t>
        </is>
      </c>
      <c r="G150" t="inlineStr">
        <is>
          <t>No Exception</t>
        </is>
      </c>
      <c r="H150" t="inlineStr">
        <is>
          <t>Low</t>
        </is>
      </c>
      <c r="I150" t="inlineStr"/>
      <c r="J150" t="inlineStr">
        <is>
          <t>Resolved</t>
        </is>
      </c>
    </row>
    <row r="151">
      <c r="A151" t="inlineStr">
        <is>
          <t>NET-00084</t>
        </is>
      </c>
      <c r="B151" t="inlineStr">
        <is>
          <t>CIS95265074</t>
        </is>
      </c>
      <c r="C151" t="inlineStr">
        <is>
          <t>DC-PA</t>
        </is>
      </c>
      <c r="D151" t="inlineStr">
        <is>
          <t>DC-PA</t>
        </is>
      </c>
      <c r="E151" t="inlineStr">
        <is>
          <t>Unassigned</t>
        </is>
      </c>
      <c r="F151" t="inlineStr">
        <is>
          <t>Unassigned</t>
        </is>
      </c>
      <c r="G151" t="inlineStr">
        <is>
          <t>No Exception</t>
        </is>
      </c>
      <c r="H151" t="inlineStr">
        <is>
          <t>Low</t>
        </is>
      </c>
      <c r="I151" t="inlineStr"/>
      <c r="J151" t="inlineStr">
        <is>
          <t>Resolved</t>
        </is>
      </c>
    </row>
    <row r="152">
      <c r="A152" t="inlineStr">
        <is>
          <t>SCN-00087</t>
        </is>
      </c>
      <c r="B152" t="inlineStr">
        <is>
          <t>FUJ15198775</t>
        </is>
      </c>
      <c r="C152" t="inlineStr">
        <is>
          <t>HQ-Queens</t>
        </is>
      </c>
      <c r="D152" t="inlineStr">
        <is>
          <t>HQ-Queens</t>
        </is>
      </c>
      <c r="E152" t="inlineStr">
        <is>
          <t>Shane Henderson</t>
        </is>
      </c>
      <c r="F152" t="inlineStr">
        <is>
          <t>Shane Henderson</t>
        </is>
      </c>
      <c r="G152" t="inlineStr">
        <is>
          <t>No Exception</t>
        </is>
      </c>
      <c r="H152" t="inlineStr">
        <is>
          <t>Low</t>
        </is>
      </c>
      <c r="I152" t="inlineStr"/>
      <c r="J152" t="inlineStr">
        <is>
          <t>Resolved</t>
        </is>
      </c>
    </row>
    <row r="153">
      <c r="A153" t="inlineStr">
        <is>
          <t>DSK-00089</t>
        </is>
      </c>
      <c r="B153" t="inlineStr">
        <is>
          <t>HP89975592</t>
        </is>
      </c>
      <c r="C153" t="inlineStr">
        <is>
          <t>Store-Brooklyn</t>
        </is>
      </c>
      <c r="D153" t="inlineStr">
        <is>
          <t>Store-Brooklyn</t>
        </is>
      </c>
      <c r="E153" t="inlineStr">
        <is>
          <t>Eric Carney</t>
        </is>
      </c>
      <c r="F153" t="inlineStr">
        <is>
          <t>Eric Carney</t>
        </is>
      </c>
      <c r="G153" t="inlineStr">
        <is>
          <t>No Exception</t>
        </is>
      </c>
      <c r="H153" t="inlineStr">
        <is>
          <t>Low</t>
        </is>
      </c>
      <c r="I153" t="inlineStr"/>
      <c r="J153" t="inlineStr">
        <is>
          <t>Resolved</t>
        </is>
      </c>
    </row>
    <row r="154">
      <c r="A154" t="inlineStr">
        <is>
          <t>LAP-00091</t>
        </is>
      </c>
      <c r="B154" t="inlineStr">
        <is>
          <t>DEL38020527</t>
        </is>
      </c>
      <c r="C154" t="inlineStr">
        <is>
          <t>Store-Bronx</t>
        </is>
      </c>
      <c r="D154" t="inlineStr">
        <is>
          <t>Store-Bronx</t>
        </is>
      </c>
      <c r="E154" t="inlineStr">
        <is>
          <t>Danny Morgan</t>
        </is>
      </c>
      <c r="F154" t="inlineStr">
        <is>
          <t>Danny Morgan</t>
        </is>
      </c>
      <c r="G154" t="inlineStr">
        <is>
          <t>No Exception</t>
        </is>
      </c>
      <c r="H154" t="inlineStr">
        <is>
          <t>Low</t>
        </is>
      </c>
      <c r="I154" t="inlineStr"/>
      <c r="J154" t="inlineStr">
        <is>
          <t>Resolved</t>
        </is>
      </c>
    </row>
    <row r="155">
      <c r="A155" t="inlineStr">
        <is>
          <t>MOB-00092</t>
        </is>
      </c>
      <c r="B155" t="inlineStr">
        <is>
          <t>APP56286927</t>
        </is>
      </c>
      <c r="C155" t="inlineStr">
        <is>
          <t>Store-Newark</t>
        </is>
      </c>
      <c r="D155" t="inlineStr">
        <is>
          <t>Store-Newark</t>
        </is>
      </c>
      <c r="E155" t="inlineStr">
        <is>
          <t>Crystal Robinson</t>
        </is>
      </c>
      <c r="F155" t="inlineStr">
        <is>
          <t>Crystal Robinson</t>
        </is>
      </c>
      <c r="G155" t="inlineStr">
        <is>
          <t>No Exception</t>
        </is>
      </c>
      <c r="H155" t="inlineStr">
        <is>
          <t>Low</t>
        </is>
      </c>
      <c r="I155" t="inlineStr"/>
      <c r="J155" t="inlineStr">
        <is>
          <t>Resolved</t>
        </is>
      </c>
    </row>
    <row r="156">
      <c r="A156" t="inlineStr">
        <is>
          <t>PRT-00093</t>
        </is>
      </c>
      <c r="B156" t="inlineStr">
        <is>
          <t>CAN39759410</t>
        </is>
      </c>
      <c r="C156" t="inlineStr">
        <is>
          <t>DC-PA</t>
        </is>
      </c>
      <c r="D156" t="inlineStr">
        <is>
          <t>DC-PA</t>
        </is>
      </c>
      <c r="E156" t="inlineStr">
        <is>
          <t>Mark Perez</t>
        </is>
      </c>
      <c r="F156" t="inlineStr">
        <is>
          <t>Mark Perez</t>
        </is>
      </c>
      <c r="G156" t="inlineStr">
        <is>
          <t>No Exception</t>
        </is>
      </c>
      <c r="H156" t="inlineStr">
        <is>
          <t>Low</t>
        </is>
      </c>
      <c r="I156" t="inlineStr"/>
      <c r="J156" t="inlineStr">
        <is>
          <t>Resolved</t>
        </is>
      </c>
    </row>
    <row r="157">
      <c r="A157" t="inlineStr">
        <is>
          <t>NET-00094</t>
        </is>
      </c>
      <c r="B157" t="inlineStr">
        <is>
          <t>UBI50942573</t>
        </is>
      </c>
      <c r="C157" t="inlineStr">
        <is>
          <t>HQ-Queens</t>
        </is>
      </c>
      <c r="D157" t="inlineStr">
        <is>
          <t>HQ-Queens</t>
        </is>
      </c>
      <c r="E157" t="inlineStr">
        <is>
          <t>Shannon Jones</t>
        </is>
      </c>
      <c r="F157" t="inlineStr">
        <is>
          <t>Shannon Jones</t>
        </is>
      </c>
      <c r="G157" t="inlineStr">
        <is>
          <t>No Exception</t>
        </is>
      </c>
      <c r="H157" t="inlineStr">
        <is>
          <t>Low</t>
        </is>
      </c>
      <c r="I157" t="inlineStr"/>
      <c r="J157" t="inlineStr">
        <is>
          <t>Resolved</t>
        </is>
      </c>
    </row>
    <row r="158">
      <c r="A158" t="inlineStr">
        <is>
          <t>LAP-00095</t>
        </is>
      </c>
      <c r="B158" t="inlineStr">
        <is>
          <t>DEL86429343</t>
        </is>
      </c>
      <c r="C158" t="inlineStr">
        <is>
          <t>DC-NY</t>
        </is>
      </c>
      <c r="D158" t="inlineStr">
        <is>
          <t>DC-NY</t>
        </is>
      </c>
      <c r="E158" t="inlineStr">
        <is>
          <t>Michael Lewis</t>
        </is>
      </c>
      <c r="F158" t="inlineStr">
        <is>
          <t>Michael Lewis</t>
        </is>
      </c>
      <c r="G158" t="inlineStr">
        <is>
          <t>No Exception</t>
        </is>
      </c>
      <c r="H158" t="inlineStr">
        <is>
          <t>Low</t>
        </is>
      </c>
      <c r="I158" t="inlineStr"/>
      <c r="J158" t="inlineStr">
        <is>
          <t>Resolved</t>
        </is>
      </c>
    </row>
    <row r="159">
      <c r="A159" t="inlineStr">
        <is>
          <t>DSK-00096</t>
        </is>
      </c>
      <c r="B159" t="inlineStr">
        <is>
          <t>DEL10152403</t>
        </is>
      </c>
      <c r="C159" t="inlineStr">
        <is>
          <t>Store-Queens</t>
        </is>
      </c>
      <c r="D159" t="inlineStr">
        <is>
          <t>Store-Queens</t>
        </is>
      </c>
      <c r="E159" t="inlineStr">
        <is>
          <t>Timothy Duncan</t>
        </is>
      </c>
      <c r="F159" t="inlineStr">
        <is>
          <t>Timothy Duncan</t>
        </is>
      </c>
      <c r="G159" t="inlineStr">
        <is>
          <t>No Exception</t>
        </is>
      </c>
      <c r="H159" t="inlineStr">
        <is>
          <t>Low</t>
        </is>
      </c>
      <c r="I159" t="inlineStr"/>
      <c r="J159" t="inlineStr">
        <is>
          <t>Resolved</t>
        </is>
      </c>
    </row>
    <row r="160">
      <c r="A160" t="inlineStr">
        <is>
          <t>PRT-00097</t>
        </is>
      </c>
      <c r="B160" t="inlineStr">
        <is>
          <t>HP23529486</t>
        </is>
      </c>
      <c r="C160" t="inlineStr">
        <is>
          <t>Store-Brooklyn</t>
        </is>
      </c>
      <c r="D160" t="inlineStr">
        <is>
          <t>Store-Brooklyn</t>
        </is>
      </c>
      <c r="E160" t="inlineStr">
        <is>
          <t>Unassigned</t>
        </is>
      </c>
      <c r="F160" t="inlineStr">
        <is>
          <t>Unassigned</t>
        </is>
      </c>
      <c r="G160" t="inlineStr">
        <is>
          <t>No Exception</t>
        </is>
      </c>
      <c r="H160" t="inlineStr">
        <is>
          <t>Low</t>
        </is>
      </c>
      <c r="I160" t="inlineStr"/>
      <c r="J160" t="inlineStr">
        <is>
          <t>Resolved</t>
        </is>
      </c>
    </row>
    <row r="161">
      <c r="A161" t="inlineStr">
        <is>
          <t>LAP-00100</t>
        </is>
      </c>
      <c r="B161" t="inlineStr">
        <is>
          <t>LEN28564187</t>
        </is>
      </c>
      <c r="C161" t="inlineStr">
        <is>
          <t>Store-Manhattan</t>
        </is>
      </c>
      <c r="D161" t="inlineStr">
        <is>
          <t>Store-Manhattan</t>
        </is>
      </c>
      <c r="E161" t="inlineStr">
        <is>
          <t>Unassigned</t>
        </is>
      </c>
      <c r="F161" t="inlineStr">
        <is>
          <t>Unassigned</t>
        </is>
      </c>
      <c r="G161" t="inlineStr">
        <is>
          <t>No Exception</t>
        </is>
      </c>
      <c r="H161" t="inlineStr">
        <is>
          <t>Low</t>
        </is>
      </c>
      <c r="I161" t="inlineStr"/>
      <c r="J161" t="inlineStr">
        <is>
          <t>Resolved</t>
        </is>
      </c>
    </row>
    <row r="162">
      <c r="A162" t="inlineStr">
        <is>
          <t>NET-00101</t>
        </is>
      </c>
      <c r="B162" t="inlineStr">
        <is>
          <t>UBI96990378</t>
        </is>
      </c>
      <c r="C162" t="inlineStr">
        <is>
          <t>Store-Stamford</t>
        </is>
      </c>
      <c r="D162" t="inlineStr">
        <is>
          <t>Store-Stamford</t>
        </is>
      </c>
      <c r="E162" t="inlineStr">
        <is>
          <t>Unassigned</t>
        </is>
      </c>
      <c r="F162" t="inlineStr">
        <is>
          <t>Unassigned</t>
        </is>
      </c>
      <c r="G162" t="inlineStr">
        <is>
          <t>No Exception</t>
        </is>
      </c>
      <c r="H162" t="inlineStr">
        <is>
          <t>Low</t>
        </is>
      </c>
      <c r="I162" t="inlineStr"/>
      <c r="J162" t="inlineStr">
        <is>
          <t>Resolved</t>
        </is>
      </c>
    </row>
    <row r="163">
      <c r="A163" t="inlineStr">
        <is>
          <t>LAP-00102</t>
        </is>
      </c>
      <c r="B163" t="inlineStr">
        <is>
          <t>HP54638080</t>
        </is>
      </c>
      <c r="C163" t="inlineStr">
        <is>
          <t>Store-Bronx</t>
        </is>
      </c>
      <c r="D163" t="inlineStr">
        <is>
          <t>Store-Bronx</t>
        </is>
      </c>
      <c r="E163" t="inlineStr">
        <is>
          <t>Unassigned</t>
        </is>
      </c>
      <c r="F163" t="inlineStr">
        <is>
          <t>Unassigned</t>
        </is>
      </c>
      <c r="G163" t="inlineStr">
        <is>
          <t>No Exception</t>
        </is>
      </c>
      <c r="H163" t="inlineStr">
        <is>
          <t>Low</t>
        </is>
      </c>
      <c r="I163" t="inlineStr"/>
      <c r="J163" t="inlineStr">
        <is>
          <t>Resolved</t>
        </is>
      </c>
    </row>
    <row r="164">
      <c r="A164" t="inlineStr">
        <is>
          <t>MON-00103</t>
        </is>
      </c>
      <c r="B164" t="inlineStr">
        <is>
          <t>DEL87378318</t>
        </is>
      </c>
      <c r="C164" t="inlineStr">
        <is>
          <t>Store-Queens</t>
        </is>
      </c>
      <c r="D164" t="inlineStr">
        <is>
          <t>Store-Queens</t>
        </is>
      </c>
      <c r="E164" t="inlineStr">
        <is>
          <t>John Daniel</t>
        </is>
      </c>
      <c r="F164" t="inlineStr">
        <is>
          <t>John Daniel</t>
        </is>
      </c>
      <c r="G164" t="inlineStr">
        <is>
          <t>No Exception</t>
        </is>
      </c>
      <c r="H164" t="inlineStr">
        <is>
          <t>Low</t>
        </is>
      </c>
      <c r="I164" t="inlineStr"/>
      <c r="J164" t="inlineStr">
        <is>
          <t>Resolved</t>
        </is>
      </c>
    </row>
    <row r="165">
      <c r="A165" t="inlineStr">
        <is>
          <t>LAP-00104</t>
        </is>
      </c>
      <c r="B165" t="inlineStr">
        <is>
          <t>HP01751920</t>
        </is>
      </c>
      <c r="C165" t="inlineStr">
        <is>
          <t>Store-WhitePlains</t>
        </is>
      </c>
      <c r="D165" t="inlineStr">
        <is>
          <t>Store-WhitePlains</t>
        </is>
      </c>
      <c r="E165" t="inlineStr">
        <is>
          <t>Victoria Garcia</t>
        </is>
      </c>
      <c r="F165" t="inlineStr">
        <is>
          <t>Victoria Garcia</t>
        </is>
      </c>
      <c r="G165" t="inlineStr">
        <is>
          <t>No Exception</t>
        </is>
      </c>
      <c r="H165" t="inlineStr">
        <is>
          <t>Low</t>
        </is>
      </c>
      <c r="I165" t="inlineStr"/>
      <c r="J165" t="inlineStr">
        <is>
          <t>Resolved</t>
        </is>
      </c>
    </row>
    <row r="166">
      <c r="A166" t="inlineStr">
        <is>
          <t>NET-00105</t>
        </is>
      </c>
      <c r="B166" t="inlineStr">
        <is>
          <t>CIS58084516</t>
        </is>
      </c>
      <c r="C166" t="inlineStr">
        <is>
          <t>DC-NY</t>
        </is>
      </c>
      <c r="D166" t="inlineStr">
        <is>
          <t>DC-NY</t>
        </is>
      </c>
      <c r="E166" t="inlineStr">
        <is>
          <t>Unassigned</t>
        </is>
      </c>
      <c r="F166" t="inlineStr">
        <is>
          <t>Unassigned</t>
        </is>
      </c>
      <c r="G166" t="inlineStr">
        <is>
          <t>No Exception</t>
        </is>
      </c>
      <c r="H166" t="inlineStr">
        <is>
          <t>Low</t>
        </is>
      </c>
      <c r="I166" t="inlineStr"/>
      <c r="J166" t="inlineStr">
        <is>
          <t>Resolved</t>
        </is>
      </c>
    </row>
    <row r="167">
      <c r="A167" t="inlineStr">
        <is>
          <t>LAP-00106</t>
        </is>
      </c>
      <c r="B167" t="inlineStr">
        <is>
          <t>HP36981005</t>
        </is>
      </c>
      <c r="C167" t="inlineStr">
        <is>
          <t>Store-Bronx</t>
        </is>
      </c>
      <c r="D167" t="inlineStr">
        <is>
          <t>Store-Bronx</t>
        </is>
      </c>
      <c r="E167" t="inlineStr">
        <is>
          <t>Unassigned</t>
        </is>
      </c>
      <c r="F167" t="inlineStr">
        <is>
          <t>Unassigned</t>
        </is>
      </c>
      <c r="G167" t="inlineStr">
        <is>
          <t>No Exception</t>
        </is>
      </c>
      <c r="H167" t="inlineStr">
        <is>
          <t>Low</t>
        </is>
      </c>
      <c r="I167" t="inlineStr"/>
      <c r="J167" t="inlineStr">
        <is>
          <t>Resolved</t>
        </is>
      </c>
    </row>
    <row r="168">
      <c r="A168" t="inlineStr">
        <is>
          <t>LAP-00107</t>
        </is>
      </c>
      <c r="B168" t="inlineStr">
        <is>
          <t>HP15537657</t>
        </is>
      </c>
      <c r="C168" t="inlineStr">
        <is>
          <t>DC-PA</t>
        </is>
      </c>
      <c r="D168" t="inlineStr">
        <is>
          <t>DC-PA</t>
        </is>
      </c>
      <c r="E168" t="inlineStr">
        <is>
          <t>Gerald Hensley</t>
        </is>
      </c>
      <c r="F168" t="inlineStr">
        <is>
          <t>Gerald Hensley</t>
        </is>
      </c>
      <c r="G168" t="inlineStr">
        <is>
          <t>No Exception</t>
        </is>
      </c>
      <c r="H168" t="inlineStr">
        <is>
          <t>Low</t>
        </is>
      </c>
      <c r="I168" t="inlineStr"/>
      <c r="J168" t="inlineStr">
        <is>
          <t>Resolved</t>
        </is>
      </c>
    </row>
    <row r="169">
      <c r="A169" t="inlineStr">
        <is>
          <t>PRT-00109</t>
        </is>
      </c>
      <c r="B169" t="inlineStr">
        <is>
          <t>HP16413921</t>
        </is>
      </c>
      <c r="C169" t="inlineStr">
        <is>
          <t>Store-Queens</t>
        </is>
      </c>
      <c r="D169" t="inlineStr">
        <is>
          <t>Store-Queens</t>
        </is>
      </c>
      <c r="E169" t="inlineStr">
        <is>
          <t>Unassigned</t>
        </is>
      </c>
      <c r="F169" t="inlineStr">
        <is>
          <t>Unassigned</t>
        </is>
      </c>
      <c r="G169" t="inlineStr">
        <is>
          <t>No Exception</t>
        </is>
      </c>
      <c r="H169" t="inlineStr">
        <is>
          <t>Low</t>
        </is>
      </c>
      <c r="I169" t="inlineStr"/>
      <c r="J169" t="inlineStr">
        <is>
          <t>Resolved</t>
        </is>
      </c>
    </row>
    <row r="170">
      <c r="A170" t="inlineStr">
        <is>
          <t>MOB-00110</t>
        </is>
      </c>
      <c r="B170" t="inlineStr">
        <is>
          <t>SAM34876863</t>
        </is>
      </c>
      <c r="C170" t="inlineStr">
        <is>
          <t>DC-PA</t>
        </is>
      </c>
      <c r="D170" t="inlineStr">
        <is>
          <t>DC-PA</t>
        </is>
      </c>
      <c r="E170" t="inlineStr">
        <is>
          <t>Unassigned</t>
        </is>
      </c>
      <c r="F170" t="inlineStr">
        <is>
          <t>Unassigned</t>
        </is>
      </c>
      <c r="G170" t="inlineStr">
        <is>
          <t>No Exception</t>
        </is>
      </c>
      <c r="H170" t="inlineStr">
        <is>
          <t>Low</t>
        </is>
      </c>
      <c r="I170" t="inlineStr"/>
      <c r="J170" t="inlineStr">
        <is>
          <t>Resolved</t>
        </is>
      </c>
    </row>
    <row r="171">
      <c r="A171" t="inlineStr">
        <is>
          <t>PRT-00111</t>
        </is>
      </c>
      <c r="B171" t="inlineStr">
        <is>
          <t>HP95417968</t>
        </is>
      </c>
      <c r="C171" t="inlineStr">
        <is>
          <t>Store-Manhattan</t>
        </is>
      </c>
      <c r="D171" t="inlineStr">
        <is>
          <t>Store-Manhattan</t>
        </is>
      </c>
      <c r="E171" t="inlineStr">
        <is>
          <t>Connor West</t>
        </is>
      </c>
      <c r="F171" t="inlineStr">
        <is>
          <t>Connor West</t>
        </is>
      </c>
      <c r="G171" t="inlineStr">
        <is>
          <t>No Exception</t>
        </is>
      </c>
      <c r="H171" t="inlineStr">
        <is>
          <t>Low</t>
        </is>
      </c>
      <c r="I171" t="inlineStr"/>
      <c r="J171" t="inlineStr">
        <is>
          <t>Resolved</t>
        </is>
      </c>
    </row>
    <row r="172">
      <c r="A172" t="inlineStr">
        <is>
          <t>NET-00112</t>
        </is>
      </c>
      <c r="B172" t="inlineStr">
        <is>
          <t>CIS40299387</t>
        </is>
      </c>
      <c r="C172" t="inlineStr">
        <is>
          <t>Store-Newark</t>
        </is>
      </c>
      <c r="D172" t="inlineStr">
        <is>
          <t>Store-Newark</t>
        </is>
      </c>
      <c r="E172" t="inlineStr">
        <is>
          <t>Donald Wright</t>
        </is>
      </c>
      <c r="F172" t="inlineStr">
        <is>
          <t>Donald Wright</t>
        </is>
      </c>
      <c r="G172" t="inlineStr">
        <is>
          <t>No Exception</t>
        </is>
      </c>
      <c r="H172" t="inlineStr">
        <is>
          <t>Low</t>
        </is>
      </c>
      <c r="I172" t="inlineStr"/>
      <c r="J172" t="inlineStr">
        <is>
          <t>Resolved</t>
        </is>
      </c>
    </row>
    <row r="173">
      <c r="A173" t="inlineStr">
        <is>
          <t>NET-00113</t>
        </is>
      </c>
      <c r="B173" t="inlineStr">
        <is>
          <t>UBI55340659</t>
        </is>
      </c>
      <c r="C173" t="inlineStr">
        <is>
          <t>Store-Stamford</t>
        </is>
      </c>
      <c r="D173" t="inlineStr">
        <is>
          <t>Store-Stamford</t>
        </is>
      </c>
      <c r="E173" t="inlineStr">
        <is>
          <t>Jessica Callahan</t>
        </is>
      </c>
      <c r="F173" t="inlineStr">
        <is>
          <t>Jessica Callahan</t>
        </is>
      </c>
      <c r="G173" t="inlineStr">
        <is>
          <t>No Exception</t>
        </is>
      </c>
      <c r="H173" t="inlineStr">
        <is>
          <t>Low</t>
        </is>
      </c>
      <c r="I173" t="inlineStr"/>
      <c r="J173" t="inlineStr">
        <is>
          <t>Resolved</t>
        </is>
      </c>
    </row>
    <row r="174">
      <c r="A174" t="inlineStr">
        <is>
          <t>SCN-00114</t>
        </is>
      </c>
      <c r="B174" t="inlineStr">
        <is>
          <t>FUJ71313603</t>
        </is>
      </c>
      <c r="C174" t="inlineStr">
        <is>
          <t>Store-Brooklyn</t>
        </is>
      </c>
      <c r="D174" t="inlineStr">
        <is>
          <t>Store-Brooklyn</t>
        </is>
      </c>
      <c r="E174" t="inlineStr">
        <is>
          <t>Amber Kidd</t>
        </is>
      </c>
      <c r="F174" t="inlineStr">
        <is>
          <t>Amber Kidd</t>
        </is>
      </c>
      <c r="G174" t="inlineStr">
        <is>
          <t>No Exception</t>
        </is>
      </c>
      <c r="H174" t="inlineStr">
        <is>
          <t>Low</t>
        </is>
      </c>
      <c r="I174" t="inlineStr"/>
      <c r="J174" t="inlineStr">
        <is>
          <t>Resolved</t>
        </is>
      </c>
    </row>
    <row r="175">
      <c r="A175" t="inlineStr">
        <is>
          <t>LAP-00115</t>
        </is>
      </c>
      <c r="B175" t="inlineStr">
        <is>
          <t>DEL58324291</t>
        </is>
      </c>
      <c r="C175" t="inlineStr">
        <is>
          <t>HQ-Queens</t>
        </is>
      </c>
      <c r="D175" t="inlineStr">
        <is>
          <t>HQ-Queens</t>
        </is>
      </c>
      <c r="E175" t="inlineStr">
        <is>
          <t>Tracy House</t>
        </is>
      </c>
      <c r="F175" t="inlineStr">
        <is>
          <t>Tracy House</t>
        </is>
      </c>
      <c r="G175" t="inlineStr">
        <is>
          <t>No Exception</t>
        </is>
      </c>
      <c r="H175" t="inlineStr">
        <is>
          <t>Low</t>
        </is>
      </c>
      <c r="I175" t="inlineStr"/>
      <c r="J175" t="inlineStr">
        <is>
          <t>Resolved</t>
        </is>
      </c>
    </row>
    <row r="176">
      <c r="A176" t="inlineStr">
        <is>
          <t>PRT-00116</t>
        </is>
      </c>
      <c r="B176" t="inlineStr">
        <is>
          <t>CAN04092664</t>
        </is>
      </c>
      <c r="C176" t="inlineStr">
        <is>
          <t>Store-Manhattan</t>
        </is>
      </c>
      <c r="D176" t="inlineStr">
        <is>
          <t>Store-Manhattan</t>
        </is>
      </c>
      <c r="E176" t="inlineStr">
        <is>
          <t>Carol Tucker</t>
        </is>
      </c>
      <c r="F176" t="inlineStr">
        <is>
          <t>Carol Tucker</t>
        </is>
      </c>
      <c r="G176" t="inlineStr">
        <is>
          <t>No Exception</t>
        </is>
      </c>
      <c r="H176" t="inlineStr">
        <is>
          <t>Low</t>
        </is>
      </c>
      <c r="I176" t="inlineStr"/>
      <c r="J176" t="inlineStr">
        <is>
          <t>Resolved</t>
        </is>
      </c>
    </row>
    <row r="177">
      <c r="A177" t="inlineStr">
        <is>
          <t>DSK-00118</t>
        </is>
      </c>
      <c r="B177" t="inlineStr">
        <is>
          <t>HP25408876</t>
        </is>
      </c>
      <c r="C177" t="inlineStr">
        <is>
          <t>HQ-Queens</t>
        </is>
      </c>
      <c r="D177" t="inlineStr">
        <is>
          <t>HQ-Queens</t>
        </is>
      </c>
      <c r="E177" t="inlineStr">
        <is>
          <t>William Baker</t>
        </is>
      </c>
      <c r="F177" t="inlineStr">
        <is>
          <t>William Baker</t>
        </is>
      </c>
      <c r="G177" t="inlineStr">
        <is>
          <t>No Exception</t>
        </is>
      </c>
      <c r="H177" t="inlineStr">
        <is>
          <t>Low</t>
        </is>
      </c>
      <c r="I177" t="inlineStr"/>
      <c r="J177" t="inlineStr">
        <is>
          <t>Resolved</t>
        </is>
      </c>
    </row>
    <row r="178">
      <c r="A178" t="inlineStr">
        <is>
          <t>PRT-00119</t>
        </is>
      </c>
      <c r="B178" t="inlineStr">
        <is>
          <t>HP18355772</t>
        </is>
      </c>
      <c r="C178" t="inlineStr">
        <is>
          <t>Store-Manhattan</t>
        </is>
      </c>
      <c r="D178" t="inlineStr">
        <is>
          <t>Store-Manhattan</t>
        </is>
      </c>
      <c r="E178" t="inlineStr">
        <is>
          <t>Jordan Henderson</t>
        </is>
      </c>
      <c r="F178" t="inlineStr">
        <is>
          <t>Jordan Henderson</t>
        </is>
      </c>
      <c r="G178" t="inlineStr">
        <is>
          <t>No Exception</t>
        </is>
      </c>
      <c r="H178" t="inlineStr">
        <is>
          <t>Low</t>
        </is>
      </c>
      <c r="I178" t="inlineStr"/>
      <c r="J178" t="inlineStr">
        <is>
          <t>Resolved</t>
        </is>
      </c>
    </row>
    <row r="179">
      <c r="A179" t="inlineStr">
        <is>
          <t>MON-00120</t>
        </is>
      </c>
      <c r="B179" t="inlineStr">
        <is>
          <t>LG02694128</t>
        </is>
      </c>
      <c r="C179" t="inlineStr">
        <is>
          <t>Store-Queens</t>
        </is>
      </c>
      <c r="D179" t="inlineStr">
        <is>
          <t>Store-Queens</t>
        </is>
      </c>
      <c r="E179" t="inlineStr">
        <is>
          <t>Whitney Peters</t>
        </is>
      </c>
      <c r="F179" t="inlineStr">
        <is>
          <t>Whitney Peters</t>
        </is>
      </c>
      <c r="G179" t="inlineStr">
        <is>
          <t>No Exception</t>
        </is>
      </c>
      <c r="H179" t="inlineStr">
        <is>
          <t>Low</t>
        </is>
      </c>
      <c r="I179" t="inlineStr"/>
      <c r="J179" t="inlineStr">
        <is>
          <t>Resolved</t>
        </is>
      </c>
    </row>
  </sheetData>
  <mergeCells count="15">
    <mergeCell ref="A4:B4"/>
    <mergeCell ref="G4:H4"/>
    <mergeCell ref="A1:J1"/>
    <mergeCell ref="E4:F4"/>
    <mergeCell ref="I4:J4"/>
    <mergeCell ref="A38:E38"/>
    <mergeCell ref="I3:J3"/>
    <mergeCell ref="A60:J60"/>
    <mergeCell ref="A17:F17"/>
    <mergeCell ref="A6:B6"/>
    <mergeCell ref="C3:D3"/>
    <mergeCell ref="A3:B3"/>
    <mergeCell ref="G3:H3"/>
    <mergeCell ref="E3:F3"/>
    <mergeCell ref="C4:D4"/>
  </mergeCells>
  <conditionalFormatting sqref="H62:H179">
    <cfRule type="expression" priority="1" dxfId="1">
      <formula>$H62="High"</formula>
    </cfRule>
    <cfRule type="expression" priority="2" dxfId="3">
      <formula>$H62="Medium"</formula>
    </cfRule>
    <cfRule type="expression" priority="3" dxfId="0">
      <formula>$H62="Low"</formula>
    </cfRule>
  </conditionalFormatting>
  <conditionalFormatting sqref="G62:G179">
    <cfRule type="expression" priority="4" dxfId="0">
      <formula>$G62="No Exception"</formula>
    </cfRule>
    <cfRule type="expression" priority="5" dxfId="1">
      <formula>$G62="Missing from Audit"</formula>
    </cfRule>
    <cfRule type="expression" priority="6" dxfId="1">
      <formula>$G62="Found Not in System"</formula>
    </cfRule>
    <cfRule type="expression" priority="7" dxfId="3">
      <formula>$G62="Wrong Location"</formula>
    </cfRule>
    <cfRule type="expression" priority="8" dxfId="3">
      <formula>$G62="Wrong User"</formula>
    </cfRule>
    <cfRule type="expression" priority="9" dxfId="1">
      <formula>$G62="Duplicate Serial Number"</formula>
    </cfRule>
    <cfRule type="expression" priority="10" dxfId="3">
      <formula>$G62="Missing Asset Tag"</formula>
    </cfRule>
    <cfRule type="expression" priority="11" dxfId="1">
      <formula>$G62="Retired but Active"</formula>
    </cfRule>
  </conditionalFormatting>
  <printOptions horizontalCentered="1"/>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fitToPage="1"/>
  </sheetPr>
  <dimension ref="A1:L28"/>
  <sheetViews>
    <sheetView showGridLines="0" workbookViewId="0">
      <pane ySplit="6" topLeftCell="A7" activePane="bottomLeft" state="frozen"/>
      <selection pane="bottomLeft" activeCell="A1" sqref="A1"/>
    </sheetView>
  </sheetViews>
  <sheetFormatPr baseColWidth="8" defaultRowHeight="15"/>
  <cols>
    <col width="28" customWidth="1" min="1" max="1"/>
    <col width="13" customWidth="1" min="2" max="2"/>
    <col width="25" customWidth="1" min="3" max="3"/>
    <col width="20" customWidth="1" min="4" max="4"/>
    <col width="24" customWidth="1" min="5" max="5"/>
    <col width="20" customWidth="1" min="6" max="6"/>
    <col width="24" customWidth="1" min="7" max="7"/>
    <col width="20" customWidth="1" min="8" max="8"/>
    <col width="19" customWidth="1" min="9" max="9"/>
    <col width="22" customWidth="1" min="10" max="10"/>
    <col width="13" customWidth="1" min="11" max="11"/>
    <col width="19" customWidth="1" min="12" max="12"/>
  </cols>
  <sheetData>
    <row r="1" ht="28" customHeight="1">
      <c r="A1" s="8" t="inlineStr">
        <is>
          <t>Software Licenses — 22 Applications Tracked</t>
        </is>
      </c>
    </row>
    <row r="2">
      <c r="A2" s="4" t="inlineStr">
        <is>
          <t>License Portfolio Summary</t>
        </is>
      </c>
      <c r="B2" s="5" t="n"/>
      <c r="C2" s="5" t="n"/>
      <c r="D2" s="5" t="n"/>
      <c r="E2" s="5" t="n"/>
      <c r="F2" s="5" t="n"/>
      <c r="G2" s="5" t="n"/>
      <c r="H2" s="5" t="n"/>
      <c r="I2" s="5" t="n"/>
      <c r="J2" s="6" t="n"/>
    </row>
    <row r="3">
      <c r="A3" s="15" t="inlineStr">
        <is>
          <t>Total Software Records</t>
        </is>
      </c>
      <c r="B3" s="16" t="n"/>
      <c r="C3" s="15" t="inlineStr">
        <is>
          <t>Over-Assigned Count</t>
        </is>
      </c>
      <c r="D3" s="16" t="n"/>
      <c r="E3" s="15" t="inlineStr">
        <is>
          <t>Renewals Due ≤ 30 Days</t>
        </is>
      </c>
      <c r="F3" s="16" t="n"/>
      <c r="G3" s="15" t="inlineStr">
        <is>
          <t>Renewals Due ≤ 90 Days</t>
        </is>
      </c>
      <c r="H3" s="16" t="n"/>
      <c r="I3" s="15" t="inlineStr">
        <is>
          <t>Total Annual Cost</t>
        </is>
      </c>
      <c r="J3" s="16" t="n"/>
    </row>
    <row r="4">
      <c r="A4" s="18" t="n">
        <v>22</v>
      </c>
      <c r="B4" s="16" t="n"/>
      <c r="C4" s="18" t="n">
        <v>1</v>
      </c>
      <c r="D4" s="16" t="n"/>
      <c r="E4" s="18" t="n">
        <v>1</v>
      </c>
      <c r="F4" s="16" t="n"/>
      <c r="G4" s="18" t="n">
        <v>6</v>
      </c>
      <c r="H4" s="16" t="n"/>
      <c r="I4" s="17" t="n">
        <v>463776.77</v>
      </c>
      <c r="J4" s="16" t="n"/>
    </row>
    <row r="5"/>
    <row r="6" ht="22" customHeight="1">
      <c r="A6" s="9" t="inlineStr">
        <is>
          <t>Software Name</t>
        </is>
      </c>
      <c r="B6" s="9" t="inlineStr">
        <is>
          <t>Vendor</t>
        </is>
      </c>
      <c r="C6" s="9" t="inlineStr">
        <is>
          <t>License Type</t>
        </is>
      </c>
      <c r="D6" s="9" t="inlineStr">
        <is>
          <t>Purchased Licenses</t>
        </is>
      </c>
      <c r="E6" s="9" t="inlineStr">
        <is>
          <t>Assigned Licenses</t>
        </is>
      </c>
      <c r="F6" s="9" t="inlineStr">
        <is>
          <t>Available Licenses</t>
        </is>
      </c>
      <c r="G6" s="9" t="inlineStr">
        <is>
          <t>Renewal Date</t>
        </is>
      </c>
      <c r="H6" s="9" t="inlineStr">
        <is>
          <t>Days Until Renewal</t>
        </is>
      </c>
      <c r="I6" s="9" t="inlineStr">
        <is>
          <t>Department</t>
        </is>
      </c>
      <c r="J6" s="9" t="inlineStr">
        <is>
          <t>Owner</t>
        </is>
      </c>
      <c r="K6" s="9" t="inlineStr">
        <is>
          <t>Annual Cost</t>
        </is>
      </c>
      <c r="L6" s="9" t="inlineStr">
        <is>
          <t>Compliance Status</t>
        </is>
      </c>
    </row>
    <row r="7">
      <c r="A7" t="inlineStr">
        <is>
          <t>Adobe Creative Cloud</t>
        </is>
      </c>
      <c r="B7" t="inlineStr">
        <is>
          <t>Adobe</t>
        </is>
      </c>
      <c r="C7" t="inlineStr">
        <is>
          <t>Subscription</t>
        </is>
      </c>
      <c r="D7" s="10" t="n">
        <v>50</v>
      </c>
      <c r="E7" s="10" t="n">
        <v>58</v>
      </c>
      <c r="F7" s="10" t="n">
        <v>-8</v>
      </c>
      <c r="G7" s="12" t="n">
        <v>46324</v>
      </c>
      <c r="H7" s="10" t="n">
        <v>120</v>
      </c>
      <c r="I7" t="inlineStr">
        <is>
          <t>Finance</t>
        </is>
      </c>
      <c r="J7" t="inlineStr">
        <is>
          <t>Allison Hill</t>
        </is>
      </c>
      <c r="K7" s="11" t="n">
        <v>13361.06</v>
      </c>
      <c r="L7" t="inlineStr">
        <is>
          <t>Over-Assigned</t>
        </is>
      </c>
    </row>
    <row r="8">
      <c r="A8" t="inlineStr">
        <is>
          <t>Zoom Business</t>
        </is>
      </c>
      <c r="B8" t="inlineStr">
        <is>
          <t>Zoom</t>
        </is>
      </c>
      <c r="C8" t="inlineStr">
        <is>
          <t>Subscription</t>
        </is>
      </c>
      <c r="D8" s="10" t="n">
        <v>200</v>
      </c>
      <c r="E8" s="10" t="n">
        <v>185</v>
      </c>
      <c r="F8" s="10" t="n">
        <v>15</v>
      </c>
      <c r="G8" s="12" t="n">
        <v>46226</v>
      </c>
      <c r="H8" s="10" t="n">
        <v>22</v>
      </c>
      <c r="I8" t="inlineStr">
        <is>
          <t>HR</t>
        </is>
      </c>
      <c r="J8" t="inlineStr">
        <is>
          <t>Noah Rhodes</t>
        </is>
      </c>
      <c r="K8" s="11" t="n">
        <v>6139.37</v>
      </c>
      <c r="L8" t="inlineStr">
        <is>
          <t>Renewal Due Soon</t>
        </is>
      </c>
    </row>
    <row r="9">
      <c r="A9" t="inlineStr">
        <is>
          <t>Slack Enterprise Grid</t>
        </is>
      </c>
      <c r="B9" t="inlineStr">
        <is>
          <t>Salesforce</t>
        </is>
      </c>
      <c r="C9" t="inlineStr">
        <is>
          <t>Subscription</t>
        </is>
      </c>
      <c r="D9" s="10" t="n">
        <v>75</v>
      </c>
      <c r="E9" s="10" t="n">
        <v>70</v>
      </c>
      <c r="F9" s="10" t="n">
        <v>5</v>
      </c>
      <c r="G9" s="12" t="n">
        <v>46264</v>
      </c>
      <c r="H9" s="10" t="n">
        <v>60</v>
      </c>
      <c r="I9" t="inlineStr">
        <is>
          <t>Store Operations</t>
        </is>
      </c>
      <c r="J9" t="inlineStr">
        <is>
          <t>Angie Henderson</t>
        </is>
      </c>
      <c r="K9" s="11" t="n">
        <v>19561.45</v>
      </c>
      <c r="L9" t="inlineStr">
        <is>
          <t>Renewal Watch</t>
        </is>
      </c>
    </row>
    <row r="10">
      <c r="A10" t="inlineStr">
        <is>
          <t>ServiceNow ITSM</t>
        </is>
      </c>
      <c r="B10" t="inlineStr">
        <is>
          <t>ServiceNow</t>
        </is>
      </c>
      <c r="C10" t="inlineStr">
        <is>
          <t>Subscription</t>
        </is>
      </c>
      <c r="D10" s="10" t="n">
        <v>120</v>
      </c>
      <c r="E10" s="10" t="n">
        <v>115</v>
      </c>
      <c r="F10" s="10" t="n">
        <v>5</v>
      </c>
      <c r="G10" s="12" t="n">
        <v>46294</v>
      </c>
      <c r="H10" s="10" t="n">
        <v>90</v>
      </c>
      <c r="I10" t="inlineStr">
        <is>
          <t>Warehouse</t>
        </is>
      </c>
      <c r="J10" t="inlineStr">
        <is>
          <t>Daniel Wagner</t>
        </is>
      </c>
      <c r="K10" s="11" t="n">
        <v>94905.25999999999</v>
      </c>
      <c r="L10" t="inlineStr">
        <is>
          <t>Renewal Watch</t>
        </is>
      </c>
    </row>
    <row r="11">
      <c r="A11" t="inlineStr">
        <is>
          <t>CrowdStrike Falcon</t>
        </is>
      </c>
      <c r="B11" t="inlineStr">
        <is>
          <t>CrowdStrike</t>
        </is>
      </c>
      <c r="C11" t="inlineStr">
        <is>
          <t>Subscription</t>
        </is>
      </c>
      <c r="D11" s="10" t="n">
        <v>300</v>
      </c>
      <c r="E11" s="10" t="n">
        <v>245</v>
      </c>
      <c r="F11" s="10" t="n">
        <v>55</v>
      </c>
      <c r="G11" s="12" t="n">
        <v>46404</v>
      </c>
      <c r="H11" s="10" t="n">
        <v>200</v>
      </c>
      <c r="I11" t="inlineStr">
        <is>
          <t>Procurement</t>
        </is>
      </c>
      <c r="J11" t="inlineStr">
        <is>
          <t>Cristian Santos</t>
        </is>
      </c>
      <c r="K11" s="11" t="n">
        <v>31792.32</v>
      </c>
      <c r="L11" t="inlineStr">
        <is>
          <t>Compliant</t>
        </is>
      </c>
    </row>
    <row r="12">
      <c r="A12" t="inlineStr">
        <is>
          <t>AutoCAD LT</t>
        </is>
      </c>
      <c r="B12" t="inlineStr">
        <is>
          <t>Autodesk</t>
        </is>
      </c>
      <c r="C12" t="inlineStr">
        <is>
          <t>Perpetual + Maintenance</t>
        </is>
      </c>
      <c r="D12" s="10" t="n">
        <v>300</v>
      </c>
      <c r="E12" s="10" t="n">
        <v>234</v>
      </c>
      <c r="F12" s="10" t="n">
        <v>66</v>
      </c>
      <c r="G12" s="12" t="n">
        <v>46470</v>
      </c>
      <c r="H12" s="10" t="n">
        <v>266</v>
      </c>
      <c r="I12" t="inlineStr">
        <is>
          <t>Procurement</t>
        </is>
      </c>
      <c r="J12" t="inlineStr">
        <is>
          <t>Connie Lawrence</t>
        </is>
      </c>
      <c r="K12" s="11" t="n">
        <v>8370.43</v>
      </c>
      <c r="L12" t="inlineStr">
        <is>
          <t>Compliant</t>
        </is>
      </c>
    </row>
    <row r="13">
      <c r="A13" t="inlineStr">
        <is>
          <t>Confluence</t>
        </is>
      </c>
      <c r="B13" t="inlineStr">
        <is>
          <t>Atlassian</t>
        </is>
      </c>
      <c r="C13" t="inlineStr">
        <is>
          <t>Subscription</t>
        </is>
      </c>
      <c r="D13" s="10" t="n">
        <v>193</v>
      </c>
      <c r="E13" s="10" t="n">
        <v>104</v>
      </c>
      <c r="F13" s="10" t="n">
        <v>89</v>
      </c>
      <c r="G13" s="12" t="n">
        <v>46348</v>
      </c>
      <c r="H13" s="10" t="n">
        <v>144</v>
      </c>
      <c r="I13" t="inlineStr">
        <is>
          <t>Procurement</t>
        </is>
      </c>
      <c r="J13" t="inlineStr">
        <is>
          <t>Abigail Shaffer</t>
        </is>
      </c>
      <c r="K13" s="11" t="n">
        <v>5768.72</v>
      </c>
      <c r="L13" t="inlineStr">
        <is>
          <t>Compliant</t>
        </is>
      </c>
    </row>
    <row r="14">
      <c r="A14" t="inlineStr">
        <is>
          <t>Confluence</t>
        </is>
      </c>
      <c r="B14" t="inlineStr">
        <is>
          <t>Atlassian</t>
        </is>
      </c>
      <c r="C14" t="inlineStr">
        <is>
          <t>Subscription</t>
        </is>
      </c>
      <c r="D14" s="10" t="n">
        <v>175</v>
      </c>
      <c r="E14" s="10" t="n">
        <v>149</v>
      </c>
      <c r="F14" s="10" t="n">
        <v>26</v>
      </c>
      <c r="G14" s="12" t="n">
        <v>46409</v>
      </c>
      <c r="H14" s="10" t="n">
        <v>205</v>
      </c>
      <c r="I14" t="inlineStr">
        <is>
          <t>Store Operations</t>
        </is>
      </c>
      <c r="J14" t="inlineStr">
        <is>
          <t>Gina Moore</t>
        </is>
      </c>
      <c r="K14" s="11" t="n">
        <v>5164.33</v>
      </c>
      <c r="L14" t="inlineStr">
        <is>
          <t>Compliant</t>
        </is>
      </c>
    </row>
    <row r="15">
      <c r="A15" t="inlineStr">
        <is>
          <t>Okta SSO</t>
        </is>
      </c>
      <c r="B15" t="inlineStr">
        <is>
          <t>Okta</t>
        </is>
      </c>
      <c r="C15" t="inlineStr">
        <is>
          <t>Subscription</t>
        </is>
      </c>
      <c r="D15" s="10" t="n">
        <v>232</v>
      </c>
      <c r="E15" s="10" t="n">
        <v>211</v>
      </c>
      <c r="F15" s="10" t="n">
        <v>21</v>
      </c>
      <c r="G15" s="12" t="n">
        <v>46241</v>
      </c>
      <c r="H15" s="10" t="n">
        <v>37</v>
      </c>
      <c r="I15" t="inlineStr">
        <is>
          <t>IT</t>
        </is>
      </c>
      <c r="J15" t="inlineStr">
        <is>
          <t>Gabrielle Davis</t>
        </is>
      </c>
      <c r="K15" s="11" t="n">
        <v>16417.77</v>
      </c>
      <c r="L15" t="inlineStr">
        <is>
          <t>Renewal Watch</t>
        </is>
      </c>
    </row>
    <row r="16">
      <c r="A16" t="inlineStr">
        <is>
          <t>ServiceNow ITSM</t>
        </is>
      </c>
      <c r="B16" t="inlineStr">
        <is>
          <t>ServiceNow</t>
        </is>
      </c>
      <c r="C16" t="inlineStr">
        <is>
          <t>Subscription</t>
        </is>
      </c>
      <c r="D16" s="10" t="n">
        <v>86</v>
      </c>
      <c r="E16" s="10" t="n">
        <v>71</v>
      </c>
      <c r="F16" s="10" t="n">
        <v>15</v>
      </c>
      <c r="G16" s="12" t="n">
        <v>46464</v>
      </c>
      <c r="H16" s="10" t="n">
        <v>260</v>
      </c>
      <c r="I16" t="inlineStr">
        <is>
          <t>Store Operations</t>
        </is>
      </c>
      <c r="J16" t="inlineStr">
        <is>
          <t>Ryan Munoz</t>
        </is>
      </c>
      <c r="K16" s="11" t="n">
        <v>98928.67</v>
      </c>
      <c r="L16" t="inlineStr">
        <is>
          <t>Compliant</t>
        </is>
      </c>
    </row>
    <row r="17">
      <c r="A17" t="inlineStr">
        <is>
          <t>CrowdStrike Falcon</t>
        </is>
      </c>
      <c r="B17" t="inlineStr">
        <is>
          <t>CrowdStrike</t>
        </is>
      </c>
      <c r="C17" t="inlineStr">
        <is>
          <t>Subscription</t>
        </is>
      </c>
      <c r="D17" s="10" t="n">
        <v>359</v>
      </c>
      <c r="E17" s="10" t="n">
        <v>249</v>
      </c>
      <c r="F17" s="10" t="n">
        <v>110</v>
      </c>
      <c r="G17" s="12" t="n">
        <v>46491</v>
      </c>
      <c r="H17" s="10" t="n">
        <v>287</v>
      </c>
      <c r="I17" t="inlineStr">
        <is>
          <t>HR</t>
        </is>
      </c>
      <c r="J17" t="inlineStr">
        <is>
          <t>Monica Herrera</t>
        </is>
      </c>
      <c r="K17" s="11" t="n">
        <v>32338.83</v>
      </c>
      <c r="L17" t="inlineStr">
        <is>
          <t>Compliant</t>
        </is>
      </c>
    </row>
    <row r="18">
      <c r="A18" t="inlineStr">
        <is>
          <t>CrowdStrike Falcon</t>
        </is>
      </c>
      <c r="B18" t="inlineStr">
        <is>
          <t>CrowdStrike</t>
        </is>
      </c>
      <c r="C18" t="inlineStr">
        <is>
          <t>Subscription</t>
        </is>
      </c>
      <c r="D18" s="10" t="n">
        <v>211</v>
      </c>
      <c r="E18" s="10" t="n">
        <v>19</v>
      </c>
      <c r="F18" s="10" t="n">
        <v>192</v>
      </c>
      <c r="G18" s="12" t="n">
        <v>46410</v>
      </c>
      <c r="H18" s="10" t="n">
        <v>206</v>
      </c>
      <c r="I18" t="inlineStr">
        <is>
          <t>HR</t>
        </is>
      </c>
      <c r="J18" t="inlineStr">
        <is>
          <t>Jamie Arnold</t>
        </is>
      </c>
      <c r="K18" s="11" t="n">
        <v>34995.79</v>
      </c>
      <c r="L18" t="inlineStr">
        <is>
          <t>Compliant</t>
        </is>
      </c>
    </row>
    <row r="19">
      <c r="A19" t="inlineStr">
        <is>
          <t>Zoom Business</t>
        </is>
      </c>
      <c r="B19" t="inlineStr">
        <is>
          <t>Zoom</t>
        </is>
      </c>
      <c r="C19" t="inlineStr">
        <is>
          <t>Subscription</t>
        </is>
      </c>
      <c r="D19" s="10" t="n">
        <v>304</v>
      </c>
      <c r="E19" s="10" t="n">
        <v>119</v>
      </c>
      <c r="F19" s="10" t="n">
        <v>185</v>
      </c>
      <c r="G19" s="12" t="n">
        <v>46557</v>
      </c>
      <c r="H19" s="10" t="n">
        <v>353</v>
      </c>
      <c r="I19" t="inlineStr">
        <is>
          <t>Procurement</t>
        </is>
      </c>
      <c r="J19" t="inlineStr">
        <is>
          <t>Lisa Hensley</t>
        </is>
      </c>
      <c r="K19" s="11" t="n">
        <v>6027.22</v>
      </c>
      <c r="L19" t="inlineStr">
        <is>
          <t>Compliant</t>
        </is>
      </c>
    </row>
    <row r="20">
      <c r="A20" t="inlineStr">
        <is>
          <t>Backup Exec</t>
        </is>
      </c>
      <c r="B20" t="inlineStr">
        <is>
          <t>Veritas</t>
        </is>
      </c>
      <c r="C20" t="inlineStr">
        <is>
          <t>Subscription</t>
        </is>
      </c>
      <c r="D20" s="10" t="n">
        <v>53</v>
      </c>
      <c r="E20" s="10" t="n">
        <v>32</v>
      </c>
      <c r="F20" s="10" t="n">
        <v>21</v>
      </c>
      <c r="G20" s="12" t="n">
        <v>46497</v>
      </c>
      <c r="H20" s="10" t="n">
        <v>293</v>
      </c>
      <c r="I20" t="inlineStr">
        <is>
          <t>HR</t>
        </is>
      </c>
      <c r="J20" t="inlineStr">
        <is>
          <t>Michele Williams</t>
        </is>
      </c>
      <c r="K20" s="11" t="n">
        <v>9219.719999999999</v>
      </c>
      <c r="L20" t="inlineStr">
        <is>
          <t>Compliant</t>
        </is>
      </c>
    </row>
    <row r="21">
      <c r="A21" t="inlineStr">
        <is>
          <t>Zoom Business</t>
        </is>
      </c>
      <c r="B21" t="inlineStr">
        <is>
          <t>Zoom</t>
        </is>
      </c>
      <c r="C21" t="inlineStr">
        <is>
          <t>Subscription</t>
        </is>
      </c>
      <c r="D21" s="10" t="n">
        <v>203</v>
      </c>
      <c r="E21" s="10" t="n">
        <v>75</v>
      </c>
      <c r="F21" s="10" t="n">
        <v>128</v>
      </c>
      <c r="G21" s="12" t="n">
        <v>46298</v>
      </c>
      <c r="H21" s="10" t="n">
        <v>94</v>
      </c>
      <c r="I21" t="inlineStr">
        <is>
          <t>Warehouse</t>
        </is>
      </c>
      <c r="J21" t="inlineStr">
        <is>
          <t>Dylan Miller</t>
        </is>
      </c>
      <c r="K21" s="11" t="n">
        <v>6368.46</v>
      </c>
      <c r="L21" t="inlineStr">
        <is>
          <t>Compliant</t>
        </is>
      </c>
    </row>
    <row r="22">
      <c r="A22" t="inlineStr">
        <is>
          <t>SQL Server Standard</t>
        </is>
      </c>
      <c r="B22" t="inlineStr">
        <is>
          <t>Microsoft</t>
        </is>
      </c>
      <c r="C22" t="inlineStr">
        <is>
          <t>Perpetual</t>
        </is>
      </c>
      <c r="D22" s="10" t="n">
        <v>85</v>
      </c>
      <c r="E22" s="10" t="n">
        <v>76</v>
      </c>
      <c r="F22" s="10" t="n">
        <v>9</v>
      </c>
      <c r="G22" s="12" t="n">
        <v>46439</v>
      </c>
      <c r="H22" s="10" t="n">
        <v>235</v>
      </c>
      <c r="I22" t="inlineStr">
        <is>
          <t>HR</t>
        </is>
      </c>
      <c r="J22" t="inlineStr">
        <is>
          <t>Brian Ramirez</t>
        </is>
      </c>
      <c r="K22" s="11" t="n">
        <v>21339.53</v>
      </c>
      <c r="L22" t="inlineStr">
        <is>
          <t>Compliant</t>
        </is>
      </c>
    </row>
    <row r="23">
      <c r="A23" t="inlineStr">
        <is>
          <t>Jira Software</t>
        </is>
      </c>
      <c r="B23" t="inlineStr">
        <is>
          <t>Atlassian</t>
        </is>
      </c>
      <c r="C23" t="inlineStr">
        <is>
          <t>Subscription</t>
        </is>
      </c>
      <c r="D23" s="10" t="n">
        <v>337</v>
      </c>
      <c r="E23" s="10" t="n">
        <v>154</v>
      </c>
      <c r="F23" s="10" t="n">
        <v>183</v>
      </c>
      <c r="G23" s="12" t="n">
        <v>46500</v>
      </c>
      <c r="H23" s="10" t="n">
        <v>296</v>
      </c>
      <c r="I23" t="inlineStr">
        <is>
          <t>Warehouse</t>
        </is>
      </c>
      <c r="J23" t="inlineStr">
        <is>
          <t>Holly Wood</t>
        </is>
      </c>
      <c r="K23" s="11" t="n">
        <v>7463.17</v>
      </c>
      <c r="L23" t="inlineStr">
        <is>
          <t>Compliant</t>
        </is>
      </c>
    </row>
    <row r="24">
      <c r="A24" t="inlineStr">
        <is>
          <t>Backup Exec</t>
        </is>
      </c>
      <c r="B24" t="inlineStr">
        <is>
          <t>Veritas</t>
        </is>
      </c>
      <c r="C24" t="inlineStr">
        <is>
          <t>Subscription</t>
        </is>
      </c>
      <c r="D24" s="10" t="n">
        <v>114</v>
      </c>
      <c r="E24" s="10" t="n">
        <v>84</v>
      </c>
      <c r="F24" s="10" t="n">
        <v>30</v>
      </c>
      <c r="G24" s="12" t="n">
        <v>46441</v>
      </c>
      <c r="H24" s="10" t="n">
        <v>237</v>
      </c>
      <c r="I24" t="inlineStr">
        <is>
          <t>Finance</t>
        </is>
      </c>
      <c r="J24" t="inlineStr">
        <is>
          <t>Derek Zuniga</t>
        </is>
      </c>
      <c r="K24" s="11" t="n">
        <v>9329.459999999999</v>
      </c>
      <c r="L24" t="inlineStr">
        <is>
          <t>Compliant</t>
        </is>
      </c>
    </row>
    <row r="25">
      <c r="A25" t="inlineStr">
        <is>
          <t>Zoom Business</t>
        </is>
      </c>
      <c r="B25" t="inlineStr">
        <is>
          <t>Zoom</t>
        </is>
      </c>
      <c r="C25" t="inlineStr">
        <is>
          <t>Subscription</t>
        </is>
      </c>
      <c r="D25" s="10" t="n">
        <v>27</v>
      </c>
      <c r="E25" s="10" t="n">
        <v>27</v>
      </c>
      <c r="F25" s="10" t="n">
        <v>0</v>
      </c>
      <c r="G25" s="12" t="n">
        <v>46494</v>
      </c>
      <c r="H25" s="10" t="n">
        <v>290</v>
      </c>
      <c r="I25" t="inlineStr">
        <is>
          <t>Warehouse</t>
        </is>
      </c>
      <c r="J25" t="inlineStr">
        <is>
          <t>Lisa Jackson</t>
        </is>
      </c>
      <c r="K25" s="11" t="n">
        <v>6363.53</v>
      </c>
      <c r="L25" t="inlineStr">
        <is>
          <t>Compliant</t>
        </is>
      </c>
    </row>
    <row r="26">
      <c r="A26" t="inlineStr">
        <is>
          <t>AutoCAD LT</t>
        </is>
      </c>
      <c r="B26" t="inlineStr">
        <is>
          <t>Autodesk</t>
        </is>
      </c>
      <c r="C26" t="inlineStr">
        <is>
          <t>Perpetual + Maintenance</t>
        </is>
      </c>
      <c r="D26" s="10" t="n">
        <v>128</v>
      </c>
      <c r="E26" s="10" t="n">
        <v>106</v>
      </c>
      <c r="F26" s="10" t="n">
        <v>22</v>
      </c>
      <c r="G26" s="12" t="n">
        <v>46413</v>
      </c>
      <c r="H26" s="10" t="n">
        <v>209</v>
      </c>
      <c r="I26" t="inlineStr">
        <is>
          <t>Warehouse</t>
        </is>
      </c>
      <c r="J26" t="inlineStr">
        <is>
          <t>Carla Gray</t>
        </is>
      </c>
      <c r="K26" s="11" t="n">
        <v>8997.889999999999</v>
      </c>
      <c r="L26" t="inlineStr">
        <is>
          <t>Compliant</t>
        </is>
      </c>
    </row>
    <row r="27">
      <c r="A27" t="inlineStr">
        <is>
          <t>Okta SSO</t>
        </is>
      </c>
      <c r="B27" t="inlineStr">
        <is>
          <t>Okta</t>
        </is>
      </c>
      <c r="C27" t="inlineStr">
        <is>
          <t>Subscription</t>
        </is>
      </c>
      <c r="D27" s="10" t="n">
        <v>77</v>
      </c>
      <c r="E27" s="10" t="n">
        <v>27</v>
      </c>
      <c r="F27" s="10" t="n">
        <v>50</v>
      </c>
      <c r="G27" s="12" t="n">
        <v>46259</v>
      </c>
      <c r="H27" s="10" t="n">
        <v>55</v>
      </c>
      <c r="I27" t="inlineStr">
        <is>
          <t>IT</t>
        </is>
      </c>
      <c r="J27" t="inlineStr">
        <is>
          <t>Margaret Hawkins DDS</t>
        </is>
      </c>
      <c r="K27" s="11" t="n">
        <v>16020.33</v>
      </c>
      <c r="L27" t="inlineStr">
        <is>
          <t>Renewal Watch</t>
        </is>
      </c>
    </row>
    <row r="28">
      <c r="A28" t="inlineStr">
        <is>
          <t>DocuSign Business Pro</t>
        </is>
      </c>
      <c r="B28" t="inlineStr">
        <is>
          <t>DocuSign</t>
        </is>
      </c>
      <c r="C28" t="inlineStr">
        <is>
          <t>Subscription</t>
        </is>
      </c>
      <c r="D28" s="10" t="n">
        <v>345</v>
      </c>
      <c r="E28" s="10" t="n">
        <v>202</v>
      </c>
      <c r="F28" s="10" t="n">
        <v>143</v>
      </c>
      <c r="G28" s="12" t="n">
        <v>46246</v>
      </c>
      <c r="H28" s="10" t="n">
        <v>42</v>
      </c>
      <c r="I28" t="inlineStr">
        <is>
          <t>HR</t>
        </is>
      </c>
      <c r="J28" t="inlineStr">
        <is>
          <t>Patty Perez</t>
        </is>
      </c>
      <c r="K28" s="11" t="n">
        <v>4903.46</v>
      </c>
      <c r="L28" t="inlineStr">
        <is>
          <t>Renewal Watch</t>
        </is>
      </c>
    </row>
  </sheetData>
  <mergeCells count="12">
    <mergeCell ref="A4:B4"/>
    <mergeCell ref="G4:H4"/>
    <mergeCell ref="E4:F4"/>
    <mergeCell ref="I4:J4"/>
    <mergeCell ref="I3:J3"/>
    <mergeCell ref="A1:L1"/>
    <mergeCell ref="A2:J2"/>
    <mergeCell ref="C3:D3"/>
    <mergeCell ref="A3:B3"/>
    <mergeCell ref="G3:H3"/>
    <mergeCell ref="E3:F3"/>
    <mergeCell ref="C4:D4"/>
  </mergeCells>
  <conditionalFormatting sqref="L7:L28">
    <cfRule type="expression" priority="1" dxfId="0">
      <formula>$L7="Compliant"</formula>
    </cfRule>
    <cfRule type="expression" priority="2" dxfId="2">
      <formula>$L7="Renewal Watch"</formula>
    </cfRule>
    <cfRule type="expression" priority="3" dxfId="3">
      <formula>$L7="Renewal Due Soon"</formula>
    </cfRule>
    <cfRule type="expression" priority="4" dxfId="1">
      <formula>$L7="Over-Assigned"</formula>
    </cfRule>
  </conditionalFormatting>
  <dataValidations count="1">
    <dataValidation sqref="L7:L28" showDropDown="0" showInputMessage="0" showErrorMessage="1" allowBlank="1" errorTitle="Invalid Entry" error="Please select a value from the dropdown list." type="list">
      <formula1>"Compliant,Renewal Watch,Renewal Due Soon,Over-Assigned"</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51"/>
  <sheetViews>
    <sheetView showGridLines="0" workbookViewId="0">
      <pane ySplit="6" topLeftCell="A7" activePane="bottomLeft" state="frozen"/>
      <selection pane="bottomLeft" activeCell="A1" sqref="A1"/>
    </sheetView>
  </sheetViews>
  <sheetFormatPr baseColWidth="8" defaultRowHeight="15"/>
  <cols>
    <col width="28" customWidth="1" min="1" max="1"/>
    <col width="18" customWidth="1" min="2" max="2"/>
    <col width="20" customWidth="1" min="3" max="3"/>
    <col width="18" customWidth="1" min="4" max="4"/>
    <col width="17" customWidth="1" min="5" max="5"/>
    <col width="22" customWidth="1" min="6" max="6"/>
    <col width="16" customWidth="1" min="7" max="7"/>
    <col width="10" customWidth="1" min="8" max="8"/>
    <col width="14" customWidth="1" min="9" max="9"/>
    <col width="24" customWidth="1" min="10" max="10"/>
    <col width="25" customWidth="1" min="11" max="11"/>
    <col width="23" customWidth="1" min="12" max="12"/>
    <col width="18" customWidth="1" min="13" max="13"/>
    <col width="13" customWidth="1" min="14" max="14"/>
    <col width="19" customWidth="1" min="15" max="15"/>
  </cols>
  <sheetData>
    <row r="1" ht="28" customHeight="1">
      <c r="A1" s="8" t="inlineStr">
        <is>
          <t>Mobile Provisioning — 45 Devices Tracked</t>
        </is>
      </c>
    </row>
    <row r="2">
      <c r="A2" s="4" t="inlineStr">
        <is>
          <t>Provisioning Checklist Summary</t>
        </is>
      </c>
      <c r="B2" s="5" t="n"/>
      <c r="C2" s="5" t="n"/>
      <c r="D2" s="5" t="n"/>
      <c r="E2" s="5" t="n"/>
      <c r="F2" s="5" t="n"/>
      <c r="G2" s="5" t="n"/>
      <c r="H2" s="5" t="n"/>
      <c r="I2" s="5" t="n"/>
      <c r="J2" s="6" t="n"/>
    </row>
    <row r="3">
      <c r="A3" s="15" t="inlineStr">
        <is>
          <t>Total Mobile Devices</t>
        </is>
      </c>
      <c r="B3" s="16" t="n"/>
      <c r="D3" s="15" t="inlineStr">
        <is>
          <t>Assigned Devices</t>
        </is>
      </c>
      <c r="E3" s="16" t="n"/>
      <c r="G3" s="15" t="inlineStr">
        <is>
          <t>Pending Setup</t>
        </is>
      </c>
      <c r="H3" s="16" t="n"/>
      <c r="J3" s="15" t="inlineStr">
        <is>
          <t>Missing User Agreement</t>
        </is>
      </c>
      <c r="K3" s="16" t="n"/>
      <c r="M3" s="15" t="inlineStr">
        <is>
          <t>Returned Devices</t>
        </is>
      </c>
      <c r="N3" s="16" t="n"/>
    </row>
    <row r="4">
      <c r="A4" s="18" t="n">
        <v>45</v>
      </c>
      <c r="B4" s="16" t="n"/>
      <c r="D4" s="18" t="n">
        <v>9</v>
      </c>
      <c r="E4" s="16" t="n"/>
      <c r="G4" s="18" t="n">
        <v>7</v>
      </c>
      <c r="H4" s="16" t="n"/>
      <c r="J4" s="18" t="n">
        <v>8</v>
      </c>
      <c r="K4" s="16" t="n"/>
      <c r="M4" s="18" t="n">
        <v>5</v>
      </c>
      <c r="N4" s="16" t="n"/>
    </row>
    <row r="5"/>
    <row r="6" ht="22" customHeight="1">
      <c r="A6" s="9" t="inlineStr">
        <is>
          <t>Employee Name</t>
        </is>
      </c>
      <c r="B6" s="9" t="inlineStr">
        <is>
          <t>Department</t>
        </is>
      </c>
      <c r="C6" s="9" t="inlineStr">
        <is>
          <t>Device Type</t>
        </is>
      </c>
      <c r="D6" s="9" t="inlineStr">
        <is>
          <t>Asset Tag</t>
        </is>
      </c>
      <c r="E6" s="9" t="inlineStr">
        <is>
          <t>IMEI</t>
        </is>
      </c>
      <c r="F6" s="9" t="inlineStr">
        <is>
          <t>SIM Number</t>
        </is>
      </c>
      <c r="G6" s="9" t="inlineStr">
        <is>
          <t>Phone Number</t>
        </is>
      </c>
      <c r="H6" s="9" t="inlineStr">
        <is>
          <t>Carrier</t>
        </is>
      </c>
      <c r="I6" s="9" t="inlineStr">
        <is>
          <t>MDM Enrolled</t>
        </is>
      </c>
      <c r="J6" s="9" t="inlineStr">
        <is>
          <t>Security Configured</t>
        </is>
      </c>
      <c r="K6" s="9" t="inlineStr">
        <is>
          <t>Required Apps Installed</t>
        </is>
      </c>
      <c r="L6" s="9" t="inlineStr">
        <is>
          <t>User Agreement Signed</t>
        </is>
      </c>
      <c r="M6" s="9" t="inlineStr">
        <is>
          <t>Date Issued</t>
        </is>
      </c>
      <c r="N6" s="9" t="inlineStr">
        <is>
          <t>Return Date</t>
        </is>
      </c>
      <c r="O6" s="9" t="inlineStr">
        <is>
          <t>Status</t>
        </is>
      </c>
    </row>
    <row r="7">
      <c r="A7" t="inlineStr">
        <is>
          <t>Michael Thomas</t>
        </is>
      </c>
      <c r="B7" t="inlineStr">
        <is>
          <t>Warehouse</t>
        </is>
      </c>
      <c r="C7" t="inlineStr">
        <is>
          <t>iPhone 14</t>
        </is>
      </c>
      <c r="D7" t="inlineStr">
        <is>
          <t>MOB-00001</t>
        </is>
      </c>
      <c r="E7" t="inlineStr">
        <is>
          <t>640502845928732</t>
        </is>
      </c>
      <c r="F7" t="inlineStr">
        <is>
          <t>89012464193812728440</t>
        </is>
      </c>
      <c r="G7" t="inlineStr">
        <is>
          <t>(537) 446-5930</t>
        </is>
      </c>
      <c r="H7" t="inlineStr">
        <is>
          <t>T-Mobile</t>
        </is>
      </c>
      <c r="I7" t="inlineStr">
        <is>
          <t>No</t>
        </is>
      </c>
      <c r="J7" t="inlineStr">
        <is>
          <t>No</t>
        </is>
      </c>
      <c r="K7" t="inlineStr">
        <is>
          <t>No</t>
        </is>
      </c>
      <c r="L7" t="inlineStr">
        <is>
          <t>No</t>
        </is>
      </c>
      <c r="M7" s="12" t="n">
        <v>46197</v>
      </c>
      <c r="N7" s="12" t="n"/>
      <c r="O7" t="inlineStr">
        <is>
          <t>Pending Setup</t>
        </is>
      </c>
    </row>
    <row r="8">
      <c r="A8" t="inlineStr">
        <is>
          <t>Michael Mcguire</t>
        </is>
      </c>
      <c r="B8" t="inlineStr">
        <is>
          <t>IT</t>
        </is>
      </c>
      <c r="C8" t="inlineStr">
        <is>
          <t>Samsung Galaxy S24</t>
        </is>
      </c>
      <c r="D8" t="inlineStr">
        <is>
          <t>MOB-00002</t>
        </is>
      </c>
      <c r="E8" t="inlineStr">
        <is>
          <t>835448995799900</t>
        </is>
      </c>
      <c r="F8" t="inlineStr">
        <is>
          <t>89015187111383756064</t>
        </is>
      </c>
      <c r="G8" t="inlineStr">
        <is>
          <t>(311) 643-6485</t>
        </is>
      </c>
      <c r="H8" t="inlineStr">
        <is>
          <t>Verizon</t>
        </is>
      </c>
      <c r="I8" t="inlineStr">
        <is>
          <t>Yes</t>
        </is>
      </c>
      <c r="J8" t="inlineStr">
        <is>
          <t>Yes</t>
        </is>
      </c>
      <c r="K8" t="inlineStr">
        <is>
          <t>Yes</t>
        </is>
      </c>
      <c r="L8" t="inlineStr">
        <is>
          <t>Yes</t>
        </is>
      </c>
      <c r="M8" s="12" t="n">
        <v>46167</v>
      </c>
      <c r="N8" s="12" t="n"/>
      <c r="O8" t="inlineStr">
        <is>
          <t>Assigned</t>
        </is>
      </c>
    </row>
    <row r="9">
      <c r="A9" t="inlineStr">
        <is>
          <t>Jonathan Smith</t>
        </is>
      </c>
      <c r="B9" t="inlineStr">
        <is>
          <t>Field Support</t>
        </is>
      </c>
      <c r="C9" t="inlineStr">
        <is>
          <t>Samsung Galaxy A54</t>
        </is>
      </c>
      <c r="D9" t="inlineStr">
        <is>
          <t>MOB-00003</t>
        </is>
      </c>
      <c r="E9" t="inlineStr">
        <is>
          <t>375035424306550</t>
        </is>
      </c>
      <c r="F9" t="inlineStr">
        <is>
          <t>89016580351822301324</t>
        </is>
      </c>
      <c r="G9" t="inlineStr">
        <is>
          <t>(711) 689-8825</t>
        </is>
      </c>
      <c r="H9" t="inlineStr">
        <is>
          <t>Verizon</t>
        </is>
      </c>
      <c r="I9" t="inlineStr">
        <is>
          <t>Yes</t>
        </is>
      </c>
      <c r="J9" t="inlineStr">
        <is>
          <t>Yes</t>
        </is>
      </c>
      <c r="K9" t="inlineStr">
        <is>
          <t>Yes</t>
        </is>
      </c>
      <c r="L9" t="inlineStr">
        <is>
          <t>No</t>
        </is>
      </c>
      <c r="M9" s="12" t="n">
        <v>45919</v>
      </c>
      <c r="N9" s="12" t="n"/>
      <c r="O9" t="inlineStr">
        <is>
          <t>Missing Agreement</t>
        </is>
      </c>
    </row>
    <row r="10">
      <c r="A10" t="inlineStr">
        <is>
          <t>Jaime Phelps</t>
        </is>
      </c>
      <c r="B10" t="inlineStr">
        <is>
          <t>Finance</t>
        </is>
      </c>
      <c r="C10" t="inlineStr">
        <is>
          <t>iPhone 15</t>
        </is>
      </c>
      <c r="D10" t="inlineStr">
        <is>
          <t>MOB-00004</t>
        </is>
      </c>
      <c r="E10" t="inlineStr">
        <is>
          <t>600834856867184</t>
        </is>
      </c>
      <c r="F10" t="inlineStr">
        <is>
          <t>89013111023967588886</t>
        </is>
      </c>
      <c r="G10" t="inlineStr">
        <is>
          <t>(596) 336-2104</t>
        </is>
      </c>
      <c r="H10" t="inlineStr">
        <is>
          <t>T-Mobile</t>
        </is>
      </c>
      <c r="I10" t="inlineStr">
        <is>
          <t>Yes</t>
        </is>
      </c>
      <c r="J10" t="inlineStr">
        <is>
          <t>Yes</t>
        </is>
      </c>
      <c r="K10" t="inlineStr">
        <is>
          <t>Yes</t>
        </is>
      </c>
      <c r="L10" t="inlineStr">
        <is>
          <t>Yes</t>
        </is>
      </c>
      <c r="M10" s="12" t="n"/>
      <c r="N10" s="12" t="n"/>
      <c r="O10" t="inlineStr">
        <is>
          <t>Ready</t>
        </is>
      </c>
    </row>
    <row r="11">
      <c r="A11" t="inlineStr">
        <is>
          <t>Nicole Hamilton</t>
        </is>
      </c>
      <c r="B11" t="inlineStr">
        <is>
          <t>HR</t>
        </is>
      </c>
      <c r="C11" t="inlineStr">
        <is>
          <t>iPhone 14</t>
        </is>
      </c>
      <c r="D11" t="inlineStr">
        <is>
          <t>MOB-00005</t>
        </is>
      </c>
      <c r="E11" t="inlineStr">
        <is>
          <t>908264648964614</t>
        </is>
      </c>
      <c r="F11" t="inlineStr">
        <is>
          <t>89017394882698457556</t>
        </is>
      </c>
      <c r="G11" t="inlineStr">
        <is>
          <t>(988) 754-5532</t>
        </is>
      </c>
      <c r="H11" t="inlineStr">
        <is>
          <t>Verizon</t>
        </is>
      </c>
      <c r="I11" t="inlineStr">
        <is>
          <t>No</t>
        </is>
      </c>
      <c r="J11" t="inlineStr">
        <is>
          <t>No</t>
        </is>
      </c>
      <c r="K11" t="inlineStr">
        <is>
          <t>No</t>
        </is>
      </c>
      <c r="L11" t="inlineStr">
        <is>
          <t>Yes</t>
        </is>
      </c>
      <c r="M11" s="12" t="n">
        <v>45761</v>
      </c>
      <c r="N11" s="12" t="n">
        <v>46172</v>
      </c>
      <c r="O11" t="inlineStr">
        <is>
          <t>Returned</t>
        </is>
      </c>
    </row>
    <row r="12">
      <c r="A12" t="inlineStr">
        <is>
          <t>Samuel Wilkins</t>
        </is>
      </c>
      <c r="B12" t="inlineStr">
        <is>
          <t>Customer Service</t>
        </is>
      </c>
      <c r="C12" t="inlineStr">
        <is>
          <t>Samsung Galaxy A54</t>
        </is>
      </c>
      <c r="D12" t="inlineStr">
        <is>
          <t>MOB-00006</t>
        </is>
      </c>
      <c r="E12" t="inlineStr">
        <is>
          <t>265267579339797</t>
        </is>
      </c>
      <c r="F12" t="inlineStr">
        <is>
          <t>89012573272978994337</t>
        </is>
      </c>
      <c r="G12" t="inlineStr">
        <is>
          <t>(425) 760-5083</t>
        </is>
      </c>
      <c r="H12" t="inlineStr">
        <is>
          <t>Verizon</t>
        </is>
      </c>
      <c r="I12" t="inlineStr">
        <is>
          <t>Yes</t>
        </is>
      </c>
      <c r="J12" t="inlineStr">
        <is>
          <t>Yes</t>
        </is>
      </c>
      <c r="K12" t="inlineStr">
        <is>
          <t>Yes</t>
        </is>
      </c>
      <c r="L12" t="inlineStr">
        <is>
          <t>Yes</t>
        </is>
      </c>
      <c r="M12" s="12" t="n">
        <v>45668</v>
      </c>
      <c r="N12" s="12" t="n"/>
      <c r="O12" t="inlineStr">
        <is>
          <t>Assigned</t>
        </is>
      </c>
    </row>
    <row r="13">
      <c r="A13" t="inlineStr">
        <is>
          <t>Brendan Hunt</t>
        </is>
      </c>
      <c r="B13" t="inlineStr">
        <is>
          <t>Warehouse</t>
        </is>
      </c>
      <c r="C13" t="inlineStr">
        <is>
          <t>Samsung Galaxy A54</t>
        </is>
      </c>
      <c r="D13" t="inlineStr">
        <is>
          <t>MOB-00007</t>
        </is>
      </c>
      <c r="E13" t="inlineStr">
        <is>
          <t>758775409569406</t>
        </is>
      </c>
      <c r="F13" t="inlineStr">
        <is>
          <t>89011765441925059959</t>
        </is>
      </c>
      <c r="G13" t="inlineStr">
        <is>
          <t>(250) 720-8121</t>
        </is>
      </c>
      <c r="H13" t="inlineStr">
        <is>
          <t>AT&amp;T</t>
        </is>
      </c>
      <c r="I13" t="inlineStr">
        <is>
          <t>Yes</t>
        </is>
      </c>
      <c r="J13" t="inlineStr">
        <is>
          <t>Yes</t>
        </is>
      </c>
      <c r="K13" t="inlineStr">
        <is>
          <t>Yes</t>
        </is>
      </c>
      <c r="L13" t="inlineStr">
        <is>
          <t>No</t>
        </is>
      </c>
      <c r="M13" s="12" t="n">
        <v>46029</v>
      </c>
      <c r="N13" s="12" t="n"/>
      <c r="O13" t="inlineStr">
        <is>
          <t>Missing Agreement</t>
        </is>
      </c>
    </row>
    <row r="14">
      <c r="A14" t="inlineStr">
        <is>
          <t>Raymond Harper MD</t>
        </is>
      </c>
      <c r="B14" t="inlineStr">
        <is>
          <t>Warehouse</t>
        </is>
      </c>
      <c r="C14" t="inlineStr">
        <is>
          <t>iPhone 14</t>
        </is>
      </c>
      <c r="D14" t="inlineStr">
        <is>
          <t>MOB-00008</t>
        </is>
      </c>
      <c r="E14" t="inlineStr">
        <is>
          <t>832008329114061</t>
        </is>
      </c>
      <c r="F14" t="inlineStr">
        <is>
          <t>89010814996896238918</t>
        </is>
      </c>
      <c r="G14" t="inlineStr">
        <is>
          <t>(696) 427-8237</t>
        </is>
      </c>
      <c r="H14" t="inlineStr">
        <is>
          <t>Verizon</t>
        </is>
      </c>
      <c r="I14" t="inlineStr">
        <is>
          <t>Yes</t>
        </is>
      </c>
      <c r="J14" t="inlineStr">
        <is>
          <t>Yes</t>
        </is>
      </c>
      <c r="K14" t="inlineStr">
        <is>
          <t>Yes</t>
        </is>
      </c>
      <c r="L14" t="inlineStr">
        <is>
          <t>No</t>
        </is>
      </c>
      <c r="M14" s="12" t="n">
        <v>46124</v>
      </c>
      <c r="N14" s="12" t="n"/>
      <c r="O14" t="inlineStr">
        <is>
          <t>Missing Agreement</t>
        </is>
      </c>
    </row>
    <row r="15">
      <c r="A15" t="inlineStr">
        <is>
          <t>Jamie Williams</t>
        </is>
      </c>
      <c r="B15" t="inlineStr">
        <is>
          <t>Customer Service</t>
        </is>
      </c>
      <c r="C15" t="inlineStr">
        <is>
          <t>Samsung Galaxy S24</t>
        </is>
      </c>
      <c r="D15" t="inlineStr">
        <is>
          <t>MOB-00009</t>
        </is>
      </c>
      <c r="E15" t="inlineStr">
        <is>
          <t>876883919037228</t>
        </is>
      </c>
      <c r="F15" t="inlineStr">
        <is>
          <t>89019328721104932079</t>
        </is>
      </c>
      <c r="G15" t="inlineStr">
        <is>
          <t>(331) 459-3834</t>
        </is>
      </c>
      <c r="H15" t="inlineStr">
        <is>
          <t>Verizon</t>
        </is>
      </c>
      <c r="I15" t="inlineStr">
        <is>
          <t>Yes</t>
        </is>
      </c>
      <c r="J15" t="inlineStr">
        <is>
          <t>Yes</t>
        </is>
      </c>
      <c r="K15" t="inlineStr">
        <is>
          <t>Yes</t>
        </is>
      </c>
      <c r="L15" t="inlineStr">
        <is>
          <t>Yes</t>
        </is>
      </c>
      <c r="M15" s="12" t="n">
        <v>45777</v>
      </c>
      <c r="N15" s="12" t="n"/>
      <c r="O15" t="inlineStr">
        <is>
          <t>Assigned</t>
        </is>
      </c>
    </row>
    <row r="16">
      <c r="A16" t="inlineStr">
        <is>
          <t>Tom Combs</t>
        </is>
      </c>
      <c r="B16" t="inlineStr">
        <is>
          <t>Warehouse</t>
        </is>
      </c>
      <c r="C16" t="inlineStr">
        <is>
          <t>iPhone 15</t>
        </is>
      </c>
      <c r="D16" t="inlineStr">
        <is>
          <t>MOB-00010</t>
        </is>
      </c>
      <c r="E16" t="inlineStr">
        <is>
          <t>979460348121415</t>
        </is>
      </c>
      <c r="F16" t="inlineStr">
        <is>
          <t>89012539539357889157</t>
        </is>
      </c>
      <c r="G16" t="inlineStr">
        <is>
          <t>(281) 783-1440</t>
        </is>
      </c>
      <c r="H16" t="inlineStr">
        <is>
          <t>T-Mobile</t>
        </is>
      </c>
      <c r="I16" t="inlineStr">
        <is>
          <t>Yes</t>
        </is>
      </c>
      <c r="J16" t="inlineStr">
        <is>
          <t>Yes</t>
        </is>
      </c>
      <c r="K16" t="inlineStr">
        <is>
          <t>Yes</t>
        </is>
      </c>
      <c r="L16" t="inlineStr">
        <is>
          <t>Yes</t>
        </is>
      </c>
      <c r="M16" s="12" t="n">
        <v>45971</v>
      </c>
      <c r="N16" s="12" t="n"/>
      <c r="O16" t="inlineStr">
        <is>
          <t>Assigned</t>
        </is>
      </c>
    </row>
    <row r="17">
      <c r="A17" t="inlineStr">
        <is>
          <t>Stephen Boyd</t>
        </is>
      </c>
      <c r="B17" t="inlineStr">
        <is>
          <t>HR</t>
        </is>
      </c>
      <c r="C17" t="inlineStr">
        <is>
          <t>Samsung Galaxy S24</t>
        </is>
      </c>
      <c r="D17" t="inlineStr">
        <is>
          <t>MOB-00011</t>
        </is>
      </c>
      <c r="E17" t="inlineStr">
        <is>
          <t>467108837254665</t>
        </is>
      </c>
      <c r="F17" t="inlineStr">
        <is>
          <t>89017404101679242106</t>
        </is>
      </c>
      <c r="G17" t="inlineStr">
        <is>
          <t>(720) 553-3324</t>
        </is>
      </c>
      <c r="H17" t="inlineStr">
        <is>
          <t>Verizon</t>
        </is>
      </c>
      <c r="I17" t="inlineStr">
        <is>
          <t>No</t>
        </is>
      </c>
      <c r="J17" t="inlineStr">
        <is>
          <t>No</t>
        </is>
      </c>
      <c r="K17" t="inlineStr">
        <is>
          <t>No</t>
        </is>
      </c>
      <c r="L17" t="inlineStr">
        <is>
          <t>Yes</t>
        </is>
      </c>
      <c r="M17" s="12" t="n">
        <v>46199</v>
      </c>
      <c r="N17" s="12" t="n"/>
      <c r="O17" t="inlineStr">
        <is>
          <t>Disabled</t>
        </is>
      </c>
    </row>
    <row r="18">
      <c r="A18" t="inlineStr">
        <is>
          <t>Scott Silva</t>
        </is>
      </c>
      <c r="B18" t="inlineStr">
        <is>
          <t>Field Support</t>
        </is>
      </c>
      <c r="C18" t="inlineStr">
        <is>
          <t>Samsung Galaxy S24</t>
        </is>
      </c>
      <c r="D18" t="inlineStr">
        <is>
          <t>MOB-00012</t>
        </is>
      </c>
      <c r="E18" t="inlineStr">
        <is>
          <t>880437810028342</t>
        </is>
      </c>
      <c r="F18" t="inlineStr">
        <is>
          <t>89017903239314522333</t>
        </is>
      </c>
      <c r="G18" t="inlineStr">
        <is>
          <t>(239) 914-7121</t>
        </is>
      </c>
      <c r="H18" t="inlineStr">
        <is>
          <t>T-Mobile</t>
        </is>
      </c>
      <c r="I18" t="inlineStr">
        <is>
          <t>No</t>
        </is>
      </c>
      <c r="J18" t="inlineStr">
        <is>
          <t>No</t>
        </is>
      </c>
      <c r="K18" t="inlineStr">
        <is>
          <t>No</t>
        </is>
      </c>
      <c r="L18" t="inlineStr">
        <is>
          <t>Yes</t>
        </is>
      </c>
      <c r="M18" s="12" t="n">
        <v>46202</v>
      </c>
      <c r="N18" s="12" t="n"/>
      <c r="O18" t="inlineStr">
        <is>
          <t>Disabled</t>
        </is>
      </c>
    </row>
    <row r="19">
      <c r="A19" t="inlineStr">
        <is>
          <t>Meghan Davis</t>
        </is>
      </c>
      <c r="B19" t="inlineStr">
        <is>
          <t>Finance</t>
        </is>
      </c>
      <c r="C19" t="inlineStr">
        <is>
          <t>iPhone 14</t>
        </is>
      </c>
      <c r="D19" t="inlineStr">
        <is>
          <t>MOB-00013</t>
        </is>
      </c>
      <c r="E19" t="inlineStr">
        <is>
          <t>888380720003650</t>
        </is>
      </c>
      <c r="F19" t="inlineStr">
        <is>
          <t>89013353532285422652</t>
        </is>
      </c>
      <c r="G19" t="inlineStr">
        <is>
          <t>(670) 537-6403</t>
        </is>
      </c>
      <c r="H19" t="inlineStr">
        <is>
          <t>AT&amp;T</t>
        </is>
      </c>
      <c r="I19" t="inlineStr">
        <is>
          <t>Yes</t>
        </is>
      </c>
      <c r="J19" t="inlineStr">
        <is>
          <t>Yes</t>
        </is>
      </c>
      <c r="K19" t="inlineStr">
        <is>
          <t>No</t>
        </is>
      </c>
      <c r="L19" t="inlineStr">
        <is>
          <t>Yes</t>
        </is>
      </c>
      <c r="M19" s="12" t="n"/>
      <c r="N19" s="12" t="n"/>
      <c r="O19" t="inlineStr">
        <is>
          <t>Ready</t>
        </is>
      </c>
    </row>
    <row r="20">
      <c r="A20" t="inlineStr">
        <is>
          <t>Rachel Nolan</t>
        </is>
      </c>
      <c r="B20" t="inlineStr">
        <is>
          <t>Field Support</t>
        </is>
      </c>
      <c r="C20" t="inlineStr">
        <is>
          <t>Samsung Galaxy A54</t>
        </is>
      </c>
      <c r="D20" t="inlineStr">
        <is>
          <t>MOB-00014</t>
        </is>
      </c>
      <c r="E20" t="inlineStr">
        <is>
          <t>498671821496299</t>
        </is>
      </c>
      <c r="F20" t="inlineStr">
        <is>
          <t>89012677943176194122</t>
        </is>
      </c>
      <c r="G20" t="inlineStr">
        <is>
          <t>(501) 513-3581</t>
        </is>
      </c>
      <c r="H20" t="inlineStr">
        <is>
          <t>T-Mobile</t>
        </is>
      </c>
      <c r="I20" t="inlineStr">
        <is>
          <t>No</t>
        </is>
      </c>
      <c r="J20" t="inlineStr">
        <is>
          <t>No</t>
        </is>
      </c>
      <c r="K20" t="inlineStr">
        <is>
          <t>No</t>
        </is>
      </c>
      <c r="L20" t="inlineStr">
        <is>
          <t>Yes</t>
        </is>
      </c>
      <c r="M20" s="12" t="n">
        <v>46083</v>
      </c>
      <c r="N20" s="12" t="n">
        <v>46129</v>
      </c>
      <c r="O20" t="inlineStr">
        <is>
          <t>Returned</t>
        </is>
      </c>
    </row>
    <row r="21">
      <c r="A21" t="inlineStr">
        <is>
          <t>Joseph Haynes</t>
        </is>
      </c>
      <c r="B21" t="inlineStr">
        <is>
          <t>Finance</t>
        </is>
      </c>
      <c r="C21" t="inlineStr">
        <is>
          <t>Samsung Galaxy S24</t>
        </is>
      </c>
      <c r="D21" t="inlineStr">
        <is>
          <t>MOB-00015</t>
        </is>
      </c>
      <c r="E21" t="inlineStr">
        <is>
          <t>030363621798015</t>
        </is>
      </c>
      <c r="F21" t="inlineStr">
        <is>
          <t>89010508064574334286</t>
        </is>
      </c>
      <c r="G21" t="inlineStr">
        <is>
          <t>(932) 384-1764</t>
        </is>
      </c>
      <c r="H21" t="inlineStr">
        <is>
          <t>T-Mobile</t>
        </is>
      </c>
      <c r="I21" t="inlineStr">
        <is>
          <t>No</t>
        </is>
      </c>
      <c r="J21" t="inlineStr">
        <is>
          <t>No</t>
        </is>
      </c>
      <c r="K21" t="inlineStr">
        <is>
          <t>No</t>
        </is>
      </c>
      <c r="L21" t="inlineStr">
        <is>
          <t>Yes</t>
        </is>
      </c>
      <c r="M21" s="12" t="n">
        <v>45768</v>
      </c>
      <c r="N21" s="12" t="n">
        <v>46158</v>
      </c>
      <c r="O21" t="inlineStr">
        <is>
          <t>Returned</t>
        </is>
      </c>
    </row>
    <row r="22">
      <c r="A22" t="inlineStr">
        <is>
          <t>Ryan Norman</t>
        </is>
      </c>
      <c r="B22" t="inlineStr">
        <is>
          <t>Finance</t>
        </is>
      </c>
      <c r="C22" t="inlineStr">
        <is>
          <t>iPhone 14</t>
        </is>
      </c>
      <c r="D22" t="inlineStr">
        <is>
          <t>MOB-00016</t>
        </is>
      </c>
      <c r="E22" t="inlineStr">
        <is>
          <t>517670590893390</t>
        </is>
      </c>
      <c r="F22" t="inlineStr">
        <is>
          <t>89016675265711198712</t>
        </is>
      </c>
      <c r="G22" t="inlineStr">
        <is>
          <t>(333) 660-2270</t>
        </is>
      </c>
      <c r="H22" t="inlineStr">
        <is>
          <t>T-Mobile</t>
        </is>
      </c>
      <c r="I22" t="inlineStr">
        <is>
          <t>No</t>
        </is>
      </c>
      <c r="J22" t="inlineStr">
        <is>
          <t>Yes</t>
        </is>
      </c>
      <c r="K22" t="inlineStr">
        <is>
          <t>No</t>
        </is>
      </c>
      <c r="L22" t="inlineStr">
        <is>
          <t>Yes</t>
        </is>
      </c>
      <c r="M22" s="12" t="n">
        <v>46080</v>
      </c>
      <c r="N22" s="12" t="n"/>
      <c r="O22" t="inlineStr">
        <is>
          <t>Assigned</t>
        </is>
      </c>
    </row>
    <row r="23">
      <c r="A23" t="inlineStr">
        <is>
          <t>Kevin Richardson</t>
        </is>
      </c>
      <c r="B23" t="inlineStr">
        <is>
          <t>Field Support</t>
        </is>
      </c>
      <c r="C23" t="inlineStr">
        <is>
          <t>iPhone 14</t>
        </is>
      </c>
      <c r="D23" t="inlineStr">
        <is>
          <t>MOB-00017</t>
        </is>
      </c>
      <c r="E23" t="inlineStr">
        <is>
          <t>970814065524123</t>
        </is>
      </c>
      <c r="F23" t="inlineStr">
        <is>
          <t>89014242200359569258</t>
        </is>
      </c>
      <c r="G23" t="inlineStr">
        <is>
          <t>(509) 416-1019</t>
        </is>
      </c>
      <c r="H23" t="inlineStr">
        <is>
          <t>AT&amp;T</t>
        </is>
      </c>
      <c r="I23" t="inlineStr">
        <is>
          <t>No</t>
        </is>
      </c>
      <c r="J23" t="inlineStr">
        <is>
          <t>No</t>
        </is>
      </c>
      <c r="K23" t="inlineStr">
        <is>
          <t>No</t>
        </is>
      </c>
      <c r="L23" t="inlineStr">
        <is>
          <t>No</t>
        </is>
      </c>
      <c r="M23" s="12" t="n">
        <v>46194</v>
      </c>
      <c r="N23" s="12" t="n"/>
      <c r="O23" t="inlineStr">
        <is>
          <t>Pending Setup</t>
        </is>
      </c>
    </row>
    <row r="24">
      <c r="A24" t="inlineStr">
        <is>
          <t>Larry Costa</t>
        </is>
      </c>
      <c r="B24" t="inlineStr">
        <is>
          <t>Customer Service</t>
        </is>
      </c>
      <c r="C24" t="inlineStr">
        <is>
          <t>iPhone 15</t>
        </is>
      </c>
      <c r="D24" t="inlineStr">
        <is>
          <t>MOB-00018</t>
        </is>
      </c>
      <c r="E24" t="inlineStr">
        <is>
          <t>654643257787213</t>
        </is>
      </c>
      <c r="F24" t="inlineStr">
        <is>
          <t>89017492073680271998</t>
        </is>
      </c>
      <c r="G24" t="inlineStr">
        <is>
          <t>(757) 567-4347</t>
        </is>
      </c>
      <c r="H24" t="inlineStr">
        <is>
          <t>Verizon</t>
        </is>
      </c>
      <c r="I24" t="inlineStr">
        <is>
          <t>Yes</t>
        </is>
      </c>
      <c r="J24" t="inlineStr">
        <is>
          <t>Yes</t>
        </is>
      </c>
      <c r="K24" t="inlineStr">
        <is>
          <t>Yes</t>
        </is>
      </c>
      <c r="L24" t="inlineStr">
        <is>
          <t>Yes</t>
        </is>
      </c>
      <c r="M24" s="12" t="n"/>
      <c r="N24" s="12" t="n"/>
      <c r="O24" t="inlineStr">
        <is>
          <t>Ready</t>
        </is>
      </c>
    </row>
    <row r="25">
      <c r="A25" t="inlineStr">
        <is>
          <t>Ashley Simpson</t>
        </is>
      </c>
      <c r="B25" t="inlineStr">
        <is>
          <t>Store Operations</t>
        </is>
      </c>
      <c r="C25" t="inlineStr">
        <is>
          <t>Samsung Galaxy A54</t>
        </is>
      </c>
      <c r="D25" t="inlineStr">
        <is>
          <t>MOB-00019</t>
        </is>
      </c>
      <c r="E25" t="inlineStr">
        <is>
          <t>578752502762027</t>
        </is>
      </c>
      <c r="F25" t="inlineStr">
        <is>
          <t>89010871631270137497</t>
        </is>
      </c>
      <c r="G25" t="inlineStr">
        <is>
          <t>(855) 841-9646</t>
        </is>
      </c>
      <c r="H25" t="inlineStr">
        <is>
          <t>AT&amp;T</t>
        </is>
      </c>
      <c r="I25" t="inlineStr">
        <is>
          <t>No</t>
        </is>
      </c>
      <c r="J25" t="inlineStr">
        <is>
          <t>No</t>
        </is>
      </c>
      <c r="K25" t="inlineStr">
        <is>
          <t>No</t>
        </is>
      </c>
      <c r="L25" t="inlineStr">
        <is>
          <t>Yes</t>
        </is>
      </c>
      <c r="M25" s="12" t="n">
        <v>46195</v>
      </c>
      <c r="N25" s="12" t="n"/>
      <c r="O25" t="inlineStr">
        <is>
          <t>Disabled</t>
        </is>
      </c>
    </row>
    <row r="26">
      <c r="A26" t="inlineStr">
        <is>
          <t>Tina Espinoza</t>
        </is>
      </c>
      <c r="B26" t="inlineStr">
        <is>
          <t>Warehouse</t>
        </is>
      </c>
      <c r="C26" t="inlineStr">
        <is>
          <t>Samsung Galaxy A54</t>
        </is>
      </c>
      <c r="D26" t="inlineStr">
        <is>
          <t>MOB-00020</t>
        </is>
      </c>
      <c r="E26" t="inlineStr">
        <is>
          <t>106793298293986</t>
        </is>
      </c>
      <c r="F26" t="inlineStr">
        <is>
          <t>89012689099387498196</t>
        </is>
      </c>
      <c r="G26" t="inlineStr">
        <is>
          <t>(889) 959-2765</t>
        </is>
      </c>
      <c r="H26" t="inlineStr">
        <is>
          <t>T-Mobile</t>
        </is>
      </c>
      <c r="I26" t="inlineStr">
        <is>
          <t>Yes</t>
        </is>
      </c>
      <c r="J26" t="inlineStr">
        <is>
          <t>Yes</t>
        </is>
      </c>
      <c r="K26" t="inlineStr">
        <is>
          <t>Yes</t>
        </is>
      </c>
      <c r="L26" t="inlineStr">
        <is>
          <t>No</t>
        </is>
      </c>
      <c r="M26" s="12" t="n">
        <v>45794</v>
      </c>
      <c r="N26" s="12" t="n"/>
      <c r="O26" t="inlineStr">
        <is>
          <t>Missing Agreement</t>
        </is>
      </c>
    </row>
    <row r="27">
      <c r="A27" t="inlineStr">
        <is>
          <t>Vincent Guzman</t>
        </is>
      </c>
      <c r="B27" t="inlineStr">
        <is>
          <t>Store Operations</t>
        </is>
      </c>
      <c r="C27" t="inlineStr">
        <is>
          <t>iPhone 14</t>
        </is>
      </c>
      <c r="D27" t="inlineStr">
        <is>
          <t>MOB-00021</t>
        </is>
      </c>
      <c r="E27" t="inlineStr">
        <is>
          <t>169838007320037</t>
        </is>
      </c>
      <c r="F27" t="inlineStr">
        <is>
          <t>89011818752931694628</t>
        </is>
      </c>
      <c r="G27" t="inlineStr">
        <is>
          <t>(316) 752-1475</t>
        </is>
      </c>
      <c r="H27" t="inlineStr">
        <is>
          <t>Verizon</t>
        </is>
      </c>
      <c r="I27" t="inlineStr">
        <is>
          <t>Yes</t>
        </is>
      </c>
      <c r="J27" t="inlineStr">
        <is>
          <t>No</t>
        </is>
      </c>
      <c r="K27" t="inlineStr">
        <is>
          <t>Yes</t>
        </is>
      </c>
      <c r="L27" t="inlineStr">
        <is>
          <t>Yes</t>
        </is>
      </c>
      <c r="M27" s="12" t="n"/>
      <c r="N27" s="12" t="n"/>
      <c r="O27" t="inlineStr">
        <is>
          <t>Ready</t>
        </is>
      </c>
    </row>
    <row r="28">
      <c r="A28" t="inlineStr">
        <is>
          <t>Cameron Miller</t>
        </is>
      </c>
      <c r="B28" t="inlineStr">
        <is>
          <t>Procurement</t>
        </is>
      </c>
      <c r="C28" t="inlineStr">
        <is>
          <t>iPhone 14</t>
        </is>
      </c>
      <c r="D28" t="inlineStr">
        <is>
          <t>MOB-00022</t>
        </is>
      </c>
      <c r="E28" t="inlineStr">
        <is>
          <t>545574982909537</t>
        </is>
      </c>
      <c r="F28" t="inlineStr">
        <is>
          <t>89013462157714897525</t>
        </is>
      </c>
      <c r="G28" t="inlineStr">
        <is>
          <t>(792) 269-2004</t>
        </is>
      </c>
      <c r="H28" t="inlineStr">
        <is>
          <t>AT&amp;T</t>
        </is>
      </c>
      <c r="I28" t="inlineStr">
        <is>
          <t>No</t>
        </is>
      </c>
      <c r="J28" t="inlineStr">
        <is>
          <t>No</t>
        </is>
      </c>
      <c r="K28" t="inlineStr">
        <is>
          <t>No</t>
        </is>
      </c>
      <c r="L28" t="inlineStr">
        <is>
          <t>Yes</t>
        </is>
      </c>
      <c r="M28" s="12" t="n">
        <v>46198</v>
      </c>
      <c r="N28" s="12" t="n"/>
      <c r="O28" t="inlineStr">
        <is>
          <t>Disabled</t>
        </is>
      </c>
    </row>
    <row r="29">
      <c r="A29" t="inlineStr">
        <is>
          <t>Brittany Aguirre</t>
        </is>
      </c>
      <c r="B29" t="inlineStr">
        <is>
          <t>Store Operations</t>
        </is>
      </c>
      <c r="C29" t="inlineStr">
        <is>
          <t>iPhone 15</t>
        </is>
      </c>
      <c r="D29" t="inlineStr">
        <is>
          <t>MOB-00023</t>
        </is>
      </c>
      <c r="E29" t="inlineStr">
        <is>
          <t>283804222287406</t>
        </is>
      </c>
      <c r="F29" t="inlineStr">
        <is>
          <t>89016343987233611008</t>
        </is>
      </c>
      <c r="G29" t="inlineStr">
        <is>
          <t>(805) 448-6491</t>
        </is>
      </c>
      <c r="H29" t="inlineStr">
        <is>
          <t>T-Mobile</t>
        </is>
      </c>
      <c r="I29" t="inlineStr">
        <is>
          <t>No</t>
        </is>
      </c>
      <c r="J29" t="inlineStr">
        <is>
          <t>No</t>
        </is>
      </c>
      <c r="K29" t="inlineStr">
        <is>
          <t>No</t>
        </is>
      </c>
      <c r="L29" t="inlineStr">
        <is>
          <t>Yes</t>
        </is>
      </c>
      <c r="M29" s="12" t="n">
        <v>46203</v>
      </c>
      <c r="N29" s="12" t="n"/>
      <c r="O29" t="inlineStr">
        <is>
          <t>Disabled</t>
        </is>
      </c>
    </row>
    <row r="30">
      <c r="A30" t="inlineStr">
        <is>
          <t>Joseph Ramos</t>
        </is>
      </c>
      <c r="B30" t="inlineStr">
        <is>
          <t>Field Support</t>
        </is>
      </c>
      <c r="C30" t="inlineStr">
        <is>
          <t>Samsung Galaxy S24</t>
        </is>
      </c>
      <c r="D30" t="inlineStr">
        <is>
          <t>MOB-00024</t>
        </is>
      </c>
      <c r="E30" t="inlineStr">
        <is>
          <t>832043152921538</t>
        </is>
      </c>
      <c r="F30" t="inlineStr">
        <is>
          <t>89010043907044926854</t>
        </is>
      </c>
      <c r="G30" t="inlineStr">
        <is>
          <t>(371) 437-6988</t>
        </is>
      </c>
      <c r="H30" t="inlineStr">
        <is>
          <t>AT&amp;T</t>
        </is>
      </c>
      <c r="I30" t="inlineStr">
        <is>
          <t>No</t>
        </is>
      </c>
      <c r="J30" t="inlineStr">
        <is>
          <t>No</t>
        </is>
      </c>
      <c r="K30" t="inlineStr">
        <is>
          <t>No</t>
        </is>
      </c>
      <c r="L30" t="inlineStr">
        <is>
          <t>No</t>
        </is>
      </c>
      <c r="M30" s="12" t="n">
        <v>46201</v>
      </c>
      <c r="N30" s="12" t="n"/>
      <c r="O30" t="inlineStr">
        <is>
          <t>Pending Setup</t>
        </is>
      </c>
    </row>
    <row r="31">
      <c r="A31" t="inlineStr">
        <is>
          <t>Aaron Berger</t>
        </is>
      </c>
      <c r="B31" t="inlineStr">
        <is>
          <t>IT</t>
        </is>
      </c>
      <c r="C31" t="inlineStr">
        <is>
          <t>iPhone 14</t>
        </is>
      </c>
      <c r="D31" t="inlineStr">
        <is>
          <t>MOB-00025</t>
        </is>
      </c>
      <c r="E31" t="inlineStr">
        <is>
          <t>558167145732547</t>
        </is>
      </c>
      <c r="F31" t="inlineStr">
        <is>
          <t>89011461155462468799</t>
        </is>
      </c>
      <c r="G31" t="inlineStr">
        <is>
          <t>(810) 994-2438</t>
        </is>
      </c>
      <c r="H31" t="inlineStr">
        <is>
          <t>Verizon</t>
        </is>
      </c>
      <c r="I31" t="inlineStr">
        <is>
          <t>Yes</t>
        </is>
      </c>
      <c r="J31" t="inlineStr">
        <is>
          <t>Yes</t>
        </is>
      </c>
      <c r="K31" t="inlineStr">
        <is>
          <t>Yes</t>
        </is>
      </c>
      <c r="L31" t="inlineStr">
        <is>
          <t>Yes</t>
        </is>
      </c>
      <c r="M31" s="12" t="n">
        <v>45962</v>
      </c>
      <c r="N31" s="12" t="n"/>
      <c r="O31" t="inlineStr">
        <is>
          <t>Assigned</t>
        </is>
      </c>
    </row>
    <row r="32">
      <c r="A32" t="inlineStr">
        <is>
          <t>Becky Navarro</t>
        </is>
      </c>
      <c r="B32" t="inlineStr">
        <is>
          <t>IT</t>
        </is>
      </c>
      <c r="C32" t="inlineStr">
        <is>
          <t>Samsung Galaxy S24</t>
        </is>
      </c>
      <c r="D32" t="inlineStr">
        <is>
          <t>MOB-00026</t>
        </is>
      </c>
      <c r="E32" t="inlineStr">
        <is>
          <t>692774703887714</t>
        </is>
      </c>
      <c r="F32" t="inlineStr">
        <is>
          <t>89011745324870342919</t>
        </is>
      </c>
      <c r="G32" t="inlineStr">
        <is>
          <t>(624) 409-3523</t>
        </is>
      </c>
      <c r="H32" t="inlineStr">
        <is>
          <t>AT&amp;T</t>
        </is>
      </c>
      <c r="I32" t="inlineStr">
        <is>
          <t>Yes</t>
        </is>
      </c>
      <c r="J32" t="inlineStr">
        <is>
          <t>Yes</t>
        </is>
      </c>
      <c r="K32" t="inlineStr">
        <is>
          <t>Yes</t>
        </is>
      </c>
      <c r="L32" t="inlineStr">
        <is>
          <t>No</t>
        </is>
      </c>
      <c r="M32" s="12" t="n"/>
      <c r="N32" s="12" t="n"/>
      <c r="O32" t="inlineStr">
        <is>
          <t>Ready</t>
        </is>
      </c>
    </row>
    <row r="33">
      <c r="A33" t="inlineStr">
        <is>
          <t>Stephanie Dyer MD</t>
        </is>
      </c>
      <c r="B33" t="inlineStr">
        <is>
          <t>IT</t>
        </is>
      </c>
      <c r="C33" t="inlineStr">
        <is>
          <t>iPhone 15</t>
        </is>
      </c>
      <c r="D33" t="inlineStr">
        <is>
          <t>MOB-00027</t>
        </is>
      </c>
      <c r="E33" t="inlineStr">
        <is>
          <t>894825270822773</t>
        </is>
      </c>
      <c r="F33" t="inlineStr">
        <is>
          <t>89015500007239836696</t>
        </is>
      </c>
      <c r="G33" t="inlineStr">
        <is>
          <t>(636) 902-9554</t>
        </is>
      </c>
      <c r="H33" t="inlineStr">
        <is>
          <t>Verizon</t>
        </is>
      </c>
      <c r="I33" t="inlineStr">
        <is>
          <t>Yes</t>
        </is>
      </c>
      <c r="J33" t="inlineStr">
        <is>
          <t>Yes</t>
        </is>
      </c>
      <c r="K33" t="inlineStr">
        <is>
          <t>Yes</t>
        </is>
      </c>
      <c r="L33" t="inlineStr">
        <is>
          <t>Yes</t>
        </is>
      </c>
      <c r="M33" s="12" t="n"/>
      <c r="N33" s="12" t="n"/>
      <c r="O33" t="inlineStr">
        <is>
          <t>Ready</t>
        </is>
      </c>
    </row>
    <row r="34">
      <c r="A34" t="inlineStr">
        <is>
          <t>Kathleen Pineda</t>
        </is>
      </c>
      <c r="B34" t="inlineStr">
        <is>
          <t>Procurement</t>
        </is>
      </c>
      <c r="C34" t="inlineStr">
        <is>
          <t>Samsung Galaxy S24</t>
        </is>
      </c>
      <c r="D34" t="inlineStr">
        <is>
          <t>MOB-00028</t>
        </is>
      </c>
      <c r="E34" t="inlineStr">
        <is>
          <t>216427112098539</t>
        </is>
      </c>
      <c r="F34" t="inlineStr">
        <is>
          <t>89012821926594718400</t>
        </is>
      </c>
      <c r="G34" t="inlineStr">
        <is>
          <t>(289) 548-9106</t>
        </is>
      </c>
      <c r="H34" t="inlineStr">
        <is>
          <t>AT&amp;T</t>
        </is>
      </c>
      <c r="I34" t="inlineStr">
        <is>
          <t>Yes</t>
        </is>
      </c>
      <c r="J34" t="inlineStr">
        <is>
          <t>Yes</t>
        </is>
      </c>
      <c r="K34" t="inlineStr">
        <is>
          <t>Yes</t>
        </is>
      </c>
      <c r="L34" t="inlineStr">
        <is>
          <t>Yes</t>
        </is>
      </c>
      <c r="M34" s="12" t="n"/>
      <c r="N34" s="12" t="n"/>
      <c r="O34" t="inlineStr">
        <is>
          <t>Ready</t>
        </is>
      </c>
    </row>
    <row r="35">
      <c r="A35" t="inlineStr">
        <is>
          <t>Sarah Vincent</t>
        </is>
      </c>
      <c r="B35" t="inlineStr">
        <is>
          <t>Procurement</t>
        </is>
      </c>
      <c r="C35" t="inlineStr">
        <is>
          <t>iPhone 15</t>
        </is>
      </c>
      <c r="D35" t="inlineStr">
        <is>
          <t>MOB-00029</t>
        </is>
      </c>
      <c r="E35" t="inlineStr">
        <is>
          <t>425499687355166</t>
        </is>
      </c>
      <c r="F35" t="inlineStr">
        <is>
          <t>89015033565740156482</t>
        </is>
      </c>
      <c r="G35" t="inlineStr">
        <is>
          <t>(338) 377-6683</t>
        </is>
      </c>
      <c r="H35" t="inlineStr">
        <is>
          <t>T-Mobile</t>
        </is>
      </c>
      <c r="I35" t="inlineStr">
        <is>
          <t>No</t>
        </is>
      </c>
      <c r="J35" t="inlineStr">
        <is>
          <t>No</t>
        </is>
      </c>
      <c r="K35" t="inlineStr">
        <is>
          <t>No</t>
        </is>
      </c>
      <c r="L35" t="inlineStr">
        <is>
          <t>Yes</t>
        </is>
      </c>
      <c r="M35" s="12" t="n">
        <v>45905</v>
      </c>
      <c r="N35" s="12" t="n">
        <v>46165</v>
      </c>
      <c r="O35" t="inlineStr">
        <is>
          <t>Returned</t>
        </is>
      </c>
    </row>
    <row r="36">
      <c r="A36" t="inlineStr">
        <is>
          <t>Michael Davis</t>
        </is>
      </c>
      <c r="B36" t="inlineStr">
        <is>
          <t>HR</t>
        </is>
      </c>
      <c r="C36" t="inlineStr">
        <is>
          <t>iPhone 14</t>
        </is>
      </c>
      <c r="D36" t="inlineStr">
        <is>
          <t>MOB-00030</t>
        </is>
      </c>
      <c r="E36" t="inlineStr">
        <is>
          <t>692732587724482</t>
        </is>
      </c>
      <c r="F36" t="inlineStr">
        <is>
          <t>89011373843073879378</t>
        </is>
      </c>
      <c r="G36" t="inlineStr">
        <is>
          <t>(470) 457-7609</t>
        </is>
      </c>
      <c r="H36" t="inlineStr">
        <is>
          <t>T-Mobile</t>
        </is>
      </c>
      <c r="I36" t="inlineStr">
        <is>
          <t>No</t>
        </is>
      </c>
      <c r="J36" t="inlineStr">
        <is>
          <t>No</t>
        </is>
      </c>
      <c r="K36" t="inlineStr">
        <is>
          <t>No</t>
        </is>
      </c>
      <c r="L36" t="inlineStr">
        <is>
          <t>No</t>
        </is>
      </c>
      <c r="M36" s="12" t="n">
        <v>46191</v>
      </c>
      <c r="N36" s="12" t="n"/>
      <c r="O36" t="inlineStr">
        <is>
          <t>Pending Setup</t>
        </is>
      </c>
    </row>
    <row r="37">
      <c r="A37" t="inlineStr">
        <is>
          <t>Timothy Sullivan</t>
        </is>
      </c>
      <c r="B37" t="inlineStr">
        <is>
          <t>Procurement</t>
        </is>
      </c>
      <c r="C37" t="inlineStr">
        <is>
          <t>Samsung Galaxy S24</t>
        </is>
      </c>
      <c r="D37" t="inlineStr">
        <is>
          <t>MOB-00031</t>
        </is>
      </c>
      <c r="E37" t="inlineStr">
        <is>
          <t>997891541686802</t>
        </is>
      </c>
      <c r="F37" t="inlineStr">
        <is>
          <t>89015343064779849238</t>
        </is>
      </c>
      <c r="G37" t="inlineStr">
        <is>
          <t>(229) 894-7090</t>
        </is>
      </c>
      <c r="H37" t="inlineStr">
        <is>
          <t>Verizon</t>
        </is>
      </c>
      <c r="I37" t="inlineStr">
        <is>
          <t>Yes</t>
        </is>
      </c>
      <c r="J37" t="inlineStr">
        <is>
          <t>No</t>
        </is>
      </c>
      <c r="K37" t="inlineStr">
        <is>
          <t>Yes</t>
        </is>
      </c>
      <c r="L37" t="inlineStr">
        <is>
          <t>Yes</t>
        </is>
      </c>
      <c r="M37" s="12" t="n">
        <v>46073</v>
      </c>
      <c r="N37" s="12" t="n"/>
      <c r="O37" t="inlineStr">
        <is>
          <t>Assigned</t>
        </is>
      </c>
    </row>
    <row r="38">
      <c r="A38" t="inlineStr">
        <is>
          <t>Laura Green</t>
        </is>
      </c>
      <c r="B38" t="inlineStr">
        <is>
          <t>Procurement</t>
        </is>
      </c>
      <c r="C38" t="inlineStr">
        <is>
          <t>iPhone 15</t>
        </is>
      </c>
      <c r="D38" t="inlineStr">
        <is>
          <t>MOB-00032</t>
        </is>
      </c>
      <c r="E38" t="inlineStr">
        <is>
          <t>605844316339178</t>
        </is>
      </c>
      <c r="F38" t="inlineStr">
        <is>
          <t>89014089623756902396</t>
        </is>
      </c>
      <c r="G38" t="inlineStr">
        <is>
          <t>(832) 863-7902</t>
        </is>
      </c>
      <c r="H38" t="inlineStr">
        <is>
          <t>Verizon</t>
        </is>
      </c>
      <c r="I38" t="inlineStr">
        <is>
          <t>Yes</t>
        </is>
      </c>
      <c r="J38" t="inlineStr">
        <is>
          <t>Yes</t>
        </is>
      </c>
      <c r="K38" t="inlineStr">
        <is>
          <t>Yes</t>
        </is>
      </c>
      <c r="L38" t="inlineStr">
        <is>
          <t>No</t>
        </is>
      </c>
      <c r="M38" s="12" t="n">
        <v>46138</v>
      </c>
      <c r="N38" s="12" t="n"/>
      <c r="O38" t="inlineStr">
        <is>
          <t>Missing Agreement</t>
        </is>
      </c>
    </row>
    <row r="39">
      <c r="A39" t="inlineStr">
        <is>
          <t>Susan Murphy</t>
        </is>
      </c>
      <c r="B39" t="inlineStr">
        <is>
          <t>Customer Service</t>
        </is>
      </c>
      <c r="C39" t="inlineStr">
        <is>
          <t>Samsung Galaxy S24</t>
        </is>
      </c>
      <c r="D39" t="inlineStr">
        <is>
          <t>MOB-00033</t>
        </is>
      </c>
      <c r="E39" t="inlineStr">
        <is>
          <t>071103582537701</t>
        </is>
      </c>
      <c r="F39" t="inlineStr">
        <is>
          <t>89011016788764254822</t>
        </is>
      </c>
      <c r="G39" t="inlineStr">
        <is>
          <t>(836) 499-5308</t>
        </is>
      </c>
      <c r="H39" t="inlineStr">
        <is>
          <t>T-Mobile</t>
        </is>
      </c>
      <c r="I39" t="inlineStr">
        <is>
          <t>No</t>
        </is>
      </c>
      <c r="J39" t="inlineStr">
        <is>
          <t>No</t>
        </is>
      </c>
      <c r="K39" t="inlineStr">
        <is>
          <t>No</t>
        </is>
      </c>
      <c r="L39" t="inlineStr">
        <is>
          <t>No</t>
        </is>
      </c>
      <c r="M39" s="12" t="n">
        <v>46199</v>
      </c>
      <c r="N39" s="12" t="n"/>
      <c r="O39" t="inlineStr">
        <is>
          <t>Pending Setup</t>
        </is>
      </c>
    </row>
    <row r="40">
      <c r="A40" t="inlineStr">
        <is>
          <t>Cody Thompson</t>
        </is>
      </c>
      <c r="B40" t="inlineStr">
        <is>
          <t>Customer Service</t>
        </is>
      </c>
      <c r="C40" t="inlineStr">
        <is>
          <t>iPhone 14</t>
        </is>
      </c>
      <c r="D40" t="inlineStr">
        <is>
          <t>MOB-00034</t>
        </is>
      </c>
      <c r="E40" t="inlineStr">
        <is>
          <t>379175245319313</t>
        </is>
      </c>
      <c r="F40" t="inlineStr">
        <is>
          <t>89019031666616713741</t>
        </is>
      </c>
      <c r="G40" t="inlineStr">
        <is>
          <t>(494) 264-8678</t>
        </is>
      </c>
      <c r="H40" t="inlineStr">
        <is>
          <t>T-Mobile</t>
        </is>
      </c>
      <c r="I40" t="inlineStr">
        <is>
          <t>No</t>
        </is>
      </c>
      <c r="J40" t="inlineStr">
        <is>
          <t>No</t>
        </is>
      </c>
      <c r="K40" t="inlineStr">
        <is>
          <t>No</t>
        </is>
      </c>
      <c r="L40" t="inlineStr">
        <is>
          <t>Yes</t>
        </is>
      </c>
      <c r="M40" s="12" t="n">
        <v>46194</v>
      </c>
      <c r="N40" s="12" t="n"/>
      <c r="O40" t="inlineStr">
        <is>
          <t>Disabled</t>
        </is>
      </c>
    </row>
    <row r="41">
      <c r="A41" t="inlineStr">
        <is>
          <t>Michelle Hanna</t>
        </is>
      </c>
      <c r="B41" t="inlineStr">
        <is>
          <t>HR</t>
        </is>
      </c>
      <c r="C41" t="inlineStr">
        <is>
          <t>Samsung Galaxy S24</t>
        </is>
      </c>
      <c r="D41" t="inlineStr">
        <is>
          <t>MOB-00035</t>
        </is>
      </c>
      <c r="E41" t="inlineStr">
        <is>
          <t>668384200602942</t>
        </is>
      </c>
      <c r="F41" t="inlineStr">
        <is>
          <t>89019535909435905463</t>
        </is>
      </c>
      <c r="G41" t="inlineStr">
        <is>
          <t>(776) 982-1637</t>
        </is>
      </c>
      <c r="H41" t="inlineStr">
        <is>
          <t>AT&amp;T</t>
        </is>
      </c>
      <c r="I41" t="inlineStr">
        <is>
          <t>No</t>
        </is>
      </c>
      <c r="J41" t="inlineStr">
        <is>
          <t>No</t>
        </is>
      </c>
      <c r="K41" t="inlineStr">
        <is>
          <t>No</t>
        </is>
      </c>
      <c r="L41" t="inlineStr">
        <is>
          <t>No</t>
        </is>
      </c>
      <c r="M41" s="12" t="n">
        <v>46200</v>
      </c>
      <c r="N41" s="12" t="n"/>
      <c r="O41" t="inlineStr">
        <is>
          <t>Pending Setup</t>
        </is>
      </c>
    </row>
    <row r="42">
      <c r="A42" t="inlineStr">
        <is>
          <t>Tina Walker</t>
        </is>
      </c>
      <c r="B42" t="inlineStr">
        <is>
          <t>IT</t>
        </is>
      </c>
      <c r="C42" t="inlineStr">
        <is>
          <t>iPhone 15</t>
        </is>
      </c>
      <c r="D42" t="inlineStr">
        <is>
          <t>MOB-00036</t>
        </is>
      </c>
      <c r="E42" t="inlineStr">
        <is>
          <t>038084633977880</t>
        </is>
      </c>
      <c r="F42" t="inlineStr">
        <is>
          <t>89019686980078125656</t>
        </is>
      </c>
      <c r="G42" t="inlineStr">
        <is>
          <t>(901) 879-3880</t>
        </is>
      </c>
      <c r="H42" t="inlineStr">
        <is>
          <t>Verizon</t>
        </is>
      </c>
      <c r="I42" t="inlineStr">
        <is>
          <t>No</t>
        </is>
      </c>
      <c r="J42" t="inlineStr">
        <is>
          <t>No</t>
        </is>
      </c>
      <c r="K42" t="inlineStr">
        <is>
          <t>No</t>
        </is>
      </c>
      <c r="L42" t="inlineStr">
        <is>
          <t>Yes</t>
        </is>
      </c>
      <c r="M42" s="12" t="n">
        <v>46158</v>
      </c>
      <c r="N42" s="12" t="n">
        <v>46178</v>
      </c>
      <c r="O42" t="inlineStr">
        <is>
          <t>Returned</t>
        </is>
      </c>
    </row>
    <row r="43">
      <c r="A43" t="inlineStr">
        <is>
          <t>Daniel Reyes</t>
        </is>
      </c>
      <c r="B43" t="inlineStr">
        <is>
          <t>Field Support</t>
        </is>
      </c>
      <c r="C43" t="inlineStr">
        <is>
          <t>Samsung Galaxy S24</t>
        </is>
      </c>
      <c r="D43" t="inlineStr">
        <is>
          <t>MOB-00037</t>
        </is>
      </c>
      <c r="E43" t="inlineStr">
        <is>
          <t>603933476920413</t>
        </is>
      </c>
      <c r="F43" t="inlineStr">
        <is>
          <t>89012352689454729958</t>
        </is>
      </c>
      <c r="G43" t="inlineStr">
        <is>
          <t>(489) 322-8731</t>
        </is>
      </c>
      <c r="H43" t="inlineStr">
        <is>
          <t>T-Mobile</t>
        </is>
      </c>
      <c r="I43" t="inlineStr">
        <is>
          <t>Yes</t>
        </is>
      </c>
      <c r="J43" t="inlineStr">
        <is>
          <t>Yes</t>
        </is>
      </c>
      <c r="K43" t="inlineStr">
        <is>
          <t>Yes</t>
        </is>
      </c>
      <c r="L43" t="inlineStr">
        <is>
          <t>No</t>
        </is>
      </c>
      <c r="M43" s="12" t="n">
        <v>46013</v>
      </c>
      <c r="N43" s="12" t="n"/>
      <c r="O43" t="inlineStr">
        <is>
          <t>Missing Agreement</t>
        </is>
      </c>
    </row>
    <row r="44">
      <c r="A44" t="inlineStr">
        <is>
          <t>Courtney Ellis MD</t>
        </is>
      </c>
      <c r="B44" t="inlineStr">
        <is>
          <t>Field Support</t>
        </is>
      </c>
      <c r="C44" t="inlineStr">
        <is>
          <t>iPhone 14</t>
        </is>
      </c>
      <c r="D44" t="inlineStr">
        <is>
          <t>MOB-00038</t>
        </is>
      </c>
      <c r="E44" t="inlineStr">
        <is>
          <t>693715456011932</t>
        </is>
      </c>
      <c r="F44" t="inlineStr">
        <is>
          <t>89017272476050037674</t>
        </is>
      </c>
      <c r="G44" t="inlineStr">
        <is>
          <t>(490) 875-3120</t>
        </is>
      </c>
      <c r="H44" t="inlineStr">
        <is>
          <t>AT&amp;T</t>
        </is>
      </c>
      <c r="I44" t="inlineStr">
        <is>
          <t>Yes</t>
        </is>
      </c>
      <c r="J44" t="inlineStr">
        <is>
          <t>Yes</t>
        </is>
      </c>
      <c r="K44" t="inlineStr">
        <is>
          <t>Yes</t>
        </is>
      </c>
      <c r="L44" t="inlineStr">
        <is>
          <t>No</t>
        </is>
      </c>
      <c r="M44" s="12" t="n">
        <v>46091</v>
      </c>
      <c r="N44" s="12" t="n"/>
      <c r="O44" t="inlineStr">
        <is>
          <t>Missing Agreement</t>
        </is>
      </c>
    </row>
    <row r="45">
      <c r="A45" t="inlineStr">
        <is>
          <t>Joshua Austin</t>
        </is>
      </c>
      <c r="B45" t="inlineStr">
        <is>
          <t>Field Support</t>
        </is>
      </c>
      <c r="C45" t="inlineStr">
        <is>
          <t>iPhone 14</t>
        </is>
      </c>
      <c r="D45" t="inlineStr">
        <is>
          <t>MOB-00039</t>
        </is>
      </c>
      <c r="E45" t="inlineStr">
        <is>
          <t>622367070788995</t>
        </is>
      </c>
      <c r="F45" t="inlineStr">
        <is>
          <t>89015284413019626648</t>
        </is>
      </c>
      <c r="G45" t="inlineStr">
        <is>
          <t>(314) 729-7957</t>
        </is>
      </c>
      <c r="H45" t="inlineStr">
        <is>
          <t>Verizon</t>
        </is>
      </c>
      <c r="I45" t="inlineStr">
        <is>
          <t>No</t>
        </is>
      </c>
      <c r="J45" t="inlineStr">
        <is>
          <t>No</t>
        </is>
      </c>
      <c r="K45" t="inlineStr">
        <is>
          <t>No</t>
        </is>
      </c>
      <c r="L45" t="inlineStr">
        <is>
          <t>Yes</t>
        </is>
      </c>
      <c r="M45" s="12" t="n">
        <v>46192</v>
      </c>
      <c r="N45" s="12" t="n"/>
      <c r="O45" t="inlineStr">
        <is>
          <t>Disabled</t>
        </is>
      </c>
    </row>
    <row r="46">
      <c r="A46" t="inlineStr">
        <is>
          <t>Suzanne Callahan</t>
        </is>
      </c>
      <c r="B46" t="inlineStr">
        <is>
          <t>IT</t>
        </is>
      </c>
      <c r="C46" t="inlineStr">
        <is>
          <t>iPhone 15</t>
        </is>
      </c>
      <c r="D46" t="inlineStr">
        <is>
          <t>MOB-00040</t>
        </is>
      </c>
      <c r="E46" t="inlineStr">
        <is>
          <t>081859497565555</t>
        </is>
      </c>
      <c r="F46" t="inlineStr">
        <is>
          <t>89013293062796041674</t>
        </is>
      </c>
      <c r="G46" t="inlineStr">
        <is>
          <t>(431) 404-2831</t>
        </is>
      </c>
      <c r="H46" t="inlineStr">
        <is>
          <t>T-Mobile</t>
        </is>
      </c>
      <c r="I46" t="inlineStr">
        <is>
          <t>Yes</t>
        </is>
      </c>
      <c r="J46" t="inlineStr">
        <is>
          <t>Yes</t>
        </is>
      </c>
      <c r="K46" t="inlineStr">
        <is>
          <t>Yes</t>
        </is>
      </c>
      <c r="L46" t="inlineStr">
        <is>
          <t>No</t>
        </is>
      </c>
      <c r="M46" s="12" t="n">
        <v>45961</v>
      </c>
      <c r="N46" s="12" t="n"/>
      <c r="O46" t="inlineStr">
        <is>
          <t>Assigned</t>
        </is>
      </c>
    </row>
    <row r="47">
      <c r="A47" t="inlineStr">
        <is>
          <t>Lauren Baker</t>
        </is>
      </c>
      <c r="B47" t="inlineStr">
        <is>
          <t>HR</t>
        </is>
      </c>
      <c r="C47" t="inlineStr">
        <is>
          <t>iPhone 14</t>
        </is>
      </c>
      <c r="D47" t="inlineStr">
        <is>
          <t>MOB-00041</t>
        </is>
      </c>
      <c r="E47" t="inlineStr">
        <is>
          <t>135498996712594</t>
        </is>
      </c>
      <c r="F47" t="inlineStr">
        <is>
          <t>89010320139100490961</t>
        </is>
      </c>
      <c r="G47" t="inlineStr">
        <is>
          <t>(428) 599-7980</t>
        </is>
      </c>
      <c r="H47" t="inlineStr">
        <is>
          <t>T-Mobile</t>
        </is>
      </c>
      <c r="I47" t="inlineStr">
        <is>
          <t>Yes</t>
        </is>
      </c>
      <c r="J47" t="inlineStr">
        <is>
          <t>Yes</t>
        </is>
      </c>
      <c r="K47" t="inlineStr">
        <is>
          <t>Yes</t>
        </is>
      </c>
      <c r="L47" t="inlineStr">
        <is>
          <t>No</t>
        </is>
      </c>
      <c r="M47" s="12" t="n">
        <v>46101</v>
      </c>
      <c r="N47" s="12" t="n"/>
      <c r="O47" t="inlineStr">
        <is>
          <t>Missing Agreement</t>
        </is>
      </c>
    </row>
    <row r="48">
      <c r="A48" t="inlineStr">
        <is>
          <t>Phillip Moore</t>
        </is>
      </c>
      <c r="B48" t="inlineStr">
        <is>
          <t>IT</t>
        </is>
      </c>
      <c r="C48" t="inlineStr">
        <is>
          <t>Samsung Galaxy A54</t>
        </is>
      </c>
      <c r="D48" t="inlineStr">
        <is>
          <t>MOB-00042</t>
        </is>
      </c>
      <c r="E48" t="inlineStr">
        <is>
          <t>371876164125031</t>
        </is>
      </c>
      <c r="F48" t="inlineStr">
        <is>
          <t>89014323402128771526</t>
        </is>
      </c>
      <c r="G48" t="inlineStr">
        <is>
          <t>(480) 538-2315</t>
        </is>
      </c>
      <c r="H48" t="inlineStr">
        <is>
          <t>AT&amp;T</t>
        </is>
      </c>
      <c r="I48" t="inlineStr">
        <is>
          <t>No</t>
        </is>
      </c>
      <c r="J48" t="inlineStr">
        <is>
          <t>No</t>
        </is>
      </c>
      <c r="K48" t="inlineStr">
        <is>
          <t>No</t>
        </is>
      </c>
      <c r="L48" t="inlineStr">
        <is>
          <t>No</t>
        </is>
      </c>
      <c r="M48" s="12" t="n">
        <v>46198</v>
      </c>
      <c r="N48" s="12" t="n"/>
      <c r="O48" t="inlineStr">
        <is>
          <t>Pending Setup</t>
        </is>
      </c>
    </row>
    <row r="49">
      <c r="A49" t="inlineStr">
        <is>
          <t>Michael Martinez</t>
        </is>
      </c>
      <c r="B49" t="inlineStr">
        <is>
          <t>Warehouse</t>
        </is>
      </c>
      <c r="C49" t="inlineStr">
        <is>
          <t>Samsung Galaxy S24</t>
        </is>
      </c>
      <c r="D49" t="inlineStr">
        <is>
          <t>MOB-00043</t>
        </is>
      </c>
      <c r="E49" t="inlineStr">
        <is>
          <t>875691014338839</t>
        </is>
      </c>
      <c r="F49" t="inlineStr">
        <is>
          <t>89018423962060588702</t>
        </is>
      </c>
      <c r="G49" t="inlineStr">
        <is>
          <t>(819) 674-8397</t>
        </is>
      </c>
      <c r="H49" t="inlineStr">
        <is>
          <t>Verizon</t>
        </is>
      </c>
      <c r="I49" t="inlineStr">
        <is>
          <t>Yes</t>
        </is>
      </c>
      <c r="J49" t="inlineStr">
        <is>
          <t>Yes</t>
        </is>
      </c>
      <c r="K49" t="inlineStr">
        <is>
          <t>Yes</t>
        </is>
      </c>
      <c r="L49" t="inlineStr">
        <is>
          <t>Yes</t>
        </is>
      </c>
      <c r="M49" s="12" t="n">
        <v>45693</v>
      </c>
      <c r="N49" s="12" t="n"/>
      <c r="O49" t="inlineStr">
        <is>
          <t>Assigned</t>
        </is>
      </c>
    </row>
    <row r="50">
      <c r="A50" t="inlineStr">
        <is>
          <t>Christina Coleman</t>
        </is>
      </c>
      <c r="B50" t="inlineStr">
        <is>
          <t>Field Support</t>
        </is>
      </c>
      <c r="C50" t="inlineStr">
        <is>
          <t>Samsung Galaxy A54</t>
        </is>
      </c>
      <c r="D50" t="inlineStr">
        <is>
          <t>MOB-00044</t>
        </is>
      </c>
      <c r="E50" t="inlineStr">
        <is>
          <t>768501993801028</t>
        </is>
      </c>
      <c r="F50" t="inlineStr">
        <is>
          <t>89019218899253991267</t>
        </is>
      </c>
      <c r="G50" t="inlineStr">
        <is>
          <t>(361) 677-6416</t>
        </is>
      </c>
      <c r="H50" t="inlineStr">
        <is>
          <t>T-Mobile</t>
        </is>
      </c>
      <c r="I50" t="inlineStr">
        <is>
          <t>No</t>
        </is>
      </c>
      <c r="J50" t="inlineStr">
        <is>
          <t>No</t>
        </is>
      </c>
      <c r="K50" t="inlineStr">
        <is>
          <t>No</t>
        </is>
      </c>
      <c r="L50" t="inlineStr">
        <is>
          <t>Yes</t>
        </is>
      </c>
      <c r="M50" s="12" t="n">
        <v>46196</v>
      </c>
      <c r="N50" s="12" t="n"/>
      <c r="O50" t="inlineStr">
        <is>
          <t>Disabled</t>
        </is>
      </c>
    </row>
    <row r="51">
      <c r="A51" t="inlineStr">
        <is>
          <t>James Murphy</t>
        </is>
      </c>
      <c r="B51" t="inlineStr">
        <is>
          <t>Customer Service</t>
        </is>
      </c>
      <c r="C51" t="inlineStr">
        <is>
          <t>iPhone 15</t>
        </is>
      </c>
      <c r="D51" t="inlineStr">
        <is>
          <t>MOB-00045</t>
        </is>
      </c>
      <c r="E51" t="inlineStr">
        <is>
          <t>865047053570100</t>
        </is>
      </c>
      <c r="F51" t="inlineStr">
        <is>
          <t>89016024668057175118</t>
        </is>
      </c>
      <c r="G51" t="inlineStr">
        <is>
          <t>(734) 612-4728</t>
        </is>
      </c>
      <c r="H51" t="inlineStr">
        <is>
          <t>Verizon</t>
        </is>
      </c>
      <c r="I51" t="inlineStr">
        <is>
          <t>No</t>
        </is>
      </c>
      <c r="J51" t="inlineStr">
        <is>
          <t>No</t>
        </is>
      </c>
      <c r="K51" t="inlineStr">
        <is>
          <t>No</t>
        </is>
      </c>
      <c r="L51" t="inlineStr">
        <is>
          <t>Yes</t>
        </is>
      </c>
      <c r="M51" s="12" t="n">
        <v>46192</v>
      </c>
      <c r="N51" s="12" t="n"/>
      <c r="O51" t="inlineStr">
        <is>
          <t>Disabled</t>
        </is>
      </c>
    </row>
  </sheetData>
  <mergeCells count="12">
    <mergeCell ref="A4:B4"/>
    <mergeCell ref="G4:H4"/>
    <mergeCell ref="J3:K3"/>
    <mergeCell ref="J4:K4"/>
    <mergeCell ref="M4:N4"/>
    <mergeCell ref="A1:O1"/>
    <mergeCell ref="D4:E4"/>
    <mergeCell ref="M3:N3"/>
    <mergeCell ref="A2:J2"/>
    <mergeCell ref="D3:E3"/>
    <mergeCell ref="A3:B3"/>
    <mergeCell ref="G3:H3"/>
  </mergeCells>
  <conditionalFormatting sqref="O7:O51">
    <cfRule type="expression" priority="1" dxfId="0">
      <formula>$O7="Ready"</formula>
    </cfRule>
    <cfRule type="expression" priority="2" dxfId="0">
      <formula>$O7="Assigned"</formula>
    </cfRule>
    <cfRule type="expression" priority="3" dxfId="3">
      <formula>$O7="Pending Setup"</formula>
    </cfRule>
    <cfRule type="expression" priority="4" dxfId="1">
      <formula>$O7="Missing Agreement"</formula>
    </cfRule>
    <cfRule type="expression" priority="5" dxfId="4">
      <formula>$O7="Returned"</formula>
    </cfRule>
    <cfRule type="expression" priority="6" dxfId="2">
      <formula>$O7="Disabled"</formula>
    </cfRule>
  </conditionalFormatting>
  <dataValidations count="5">
    <dataValidation sqref="I7:I51" showDropDown="0" showInputMessage="0" showErrorMessage="1" allowBlank="1" errorTitle="Invalid Entry" error="Please select a value from the dropdown list." type="list">
      <formula1>"Yes,No"</formula1>
    </dataValidation>
    <dataValidation sqref="J7:J51" showDropDown="0" showInputMessage="0" showErrorMessage="1" allowBlank="1" errorTitle="Invalid Entry" error="Please select a value from the dropdown list." type="list">
      <formula1>"Yes,No"</formula1>
    </dataValidation>
    <dataValidation sqref="K7:K51" showDropDown="0" showInputMessage="0" showErrorMessage="1" allowBlank="1" errorTitle="Invalid Entry" error="Please select a value from the dropdown list." type="list">
      <formula1>"Yes,No"</formula1>
    </dataValidation>
    <dataValidation sqref="L7:L51" showDropDown="0" showInputMessage="0" showErrorMessage="1" allowBlank="1" errorTitle="Invalid Entry" error="Please select a value from the dropdown list." type="list">
      <formula1>"Yes,No"</formula1>
    </dataValidation>
    <dataValidation sqref="O7:O51" showDropDown="0" showInputMessage="0" showErrorMessage="1" allowBlank="1" errorTitle="Invalid Entry" error="Please select a value from the dropdown list." type="list">
      <formula1>"Ready,Assigned,Pending Setup,Missing Agreement,Returned,Disabled"</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N31"/>
  <sheetViews>
    <sheetView showGridLines="0" workbookViewId="0">
      <pane ySplit="6" topLeftCell="A7" activePane="bottomLeft" state="frozen"/>
      <selection pane="bottomLeft" activeCell="A1" sqref="A1"/>
    </sheetView>
  </sheetViews>
  <sheetFormatPr baseColWidth="8" defaultRowHeight="15"/>
  <cols>
    <col width="36" customWidth="1" min="1" max="1"/>
    <col width="15" customWidth="1" min="2" max="2"/>
    <col width="14" customWidth="1" min="3" max="3"/>
    <col width="21" customWidth="1" min="4" max="4"/>
    <col width="13" customWidth="1" min="5" max="5"/>
    <col width="16" customWidth="1" min="6" max="6"/>
    <col width="21" customWidth="1" min="7" max="7"/>
    <col width="21" customWidth="1" min="8" max="8"/>
    <col width="19" customWidth="1" min="9" max="9"/>
    <col width="25" customWidth="1" min="10" max="10"/>
    <col width="22" customWidth="1" min="11" max="11"/>
    <col width="15" customWidth="1" min="12" max="12"/>
    <col width="17" customWidth="1" min="13" max="13"/>
    <col width="23" customWidth="1" min="14" max="14"/>
  </cols>
  <sheetData>
    <row r="1" ht="28" customHeight="1">
      <c r="A1" s="8" t="inlineStr">
        <is>
          <t>Disposal Log — 25 Retirement Records</t>
        </is>
      </c>
    </row>
    <row r="2">
      <c r="A2" s="4" t="inlineStr">
        <is>
          <t>Disposal Pipeline Summary</t>
        </is>
      </c>
      <c r="B2" s="5" t="n"/>
      <c r="C2" s="5" t="n"/>
      <c r="D2" s="5" t="n"/>
      <c r="E2" s="5" t="n"/>
      <c r="F2" s="5" t="n"/>
      <c r="G2" s="5" t="n"/>
      <c r="H2" s="5" t="n"/>
      <c r="I2" s="5" t="n"/>
      <c r="J2" s="6" t="n"/>
    </row>
    <row r="3">
      <c r="A3" s="15" t="inlineStr">
        <is>
          <t>Total Disposal Records</t>
        </is>
      </c>
      <c r="B3" s="16" t="n"/>
      <c r="D3" s="15" t="inlineStr">
        <is>
          <t>Pending Wipe</t>
        </is>
      </c>
      <c r="E3" s="16" t="n"/>
      <c r="G3" s="15" t="inlineStr">
        <is>
          <t>Certificate Missing</t>
        </is>
      </c>
      <c r="H3" s="16" t="n"/>
      <c r="J3" s="15" t="inlineStr">
        <is>
          <t>Disposed</t>
        </is>
      </c>
      <c r="K3" s="16" t="n"/>
      <c r="M3" s="15" t="inlineStr">
        <is>
          <t>Hold for Review</t>
        </is>
      </c>
      <c r="N3" s="16" t="n"/>
    </row>
    <row r="4">
      <c r="A4" s="18" t="n">
        <v>25</v>
      </c>
      <c r="B4" s="16" t="n"/>
      <c r="D4" s="18" t="n">
        <v>11</v>
      </c>
      <c r="E4" s="16" t="n"/>
      <c r="G4" s="18" t="n">
        <v>7</v>
      </c>
      <c r="H4" s="16" t="n"/>
      <c r="J4" s="18" t="n">
        <v>3</v>
      </c>
      <c r="K4" s="16" t="n"/>
      <c r="M4" s="18" t="n">
        <v>3</v>
      </c>
      <c r="N4" s="16" t="n"/>
    </row>
    <row r="5"/>
    <row r="6" ht="22" customHeight="1">
      <c r="A6" s="9" t="inlineStr">
        <is>
          <t>Asset Tag</t>
        </is>
      </c>
      <c r="B6" s="9" t="inlineStr">
        <is>
          <t>Serial Number</t>
        </is>
      </c>
      <c r="C6" s="9" t="inlineStr">
        <is>
          <t>Device Type</t>
        </is>
      </c>
      <c r="D6" s="9" t="inlineStr">
        <is>
          <t>Assigned User</t>
        </is>
      </c>
      <c r="E6" s="9" t="inlineStr">
        <is>
          <t>Return Date</t>
        </is>
      </c>
      <c r="F6" s="9" t="inlineStr">
        <is>
          <t>Condition</t>
        </is>
      </c>
      <c r="G6" s="9" t="inlineStr">
        <is>
          <t>Data Wipe Required</t>
        </is>
      </c>
      <c r="H6" s="9" t="inlineStr">
        <is>
          <t>Data Wipe Completed</t>
        </is>
      </c>
      <c r="I6" s="9" t="inlineStr">
        <is>
          <t>Wipe Method</t>
        </is>
      </c>
      <c r="J6" s="9" t="inlineStr">
        <is>
          <t>Disposal Vendor</t>
        </is>
      </c>
      <c r="K6" s="9" t="inlineStr">
        <is>
          <t>Certificate Received</t>
        </is>
      </c>
      <c r="L6" s="9" t="inlineStr">
        <is>
          <t>Disposal Date</t>
        </is>
      </c>
      <c r="M6" s="9" t="inlineStr">
        <is>
          <t>Approved By</t>
        </is>
      </c>
      <c r="N6" s="9" t="inlineStr">
        <is>
          <t>Disposal Status</t>
        </is>
      </c>
    </row>
    <row r="7">
      <c r="A7" t="inlineStr">
        <is>
          <t>DSP-00001</t>
        </is>
      </c>
      <c r="B7" t="inlineStr">
        <is>
          <t>SN18264095</t>
        </is>
      </c>
      <c r="C7" t="inlineStr">
        <is>
          <t>Desktop</t>
        </is>
      </c>
      <c r="D7" t="inlineStr">
        <is>
          <t>Joshua Atkins</t>
        </is>
      </c>
      <c r="E7" s="12" t="n">
        <v>46121</v>
      </c>
      <c r="F7" t="inlineStr">
        <is>
          <t>Fair</t>
        </is>
      </c>
      <c r="G7" t="inlineStr">
        <is>
          <t>Yes</t>
        </is>
      </c>
      <c r="H7" t="inlineStr">
        <is>
          <t>No</t>
        </is>
      </c>
      <c r="I7" t="inlineStr"/>
      <c r="J7" t="inlineStr"/>
      <c r="K7" t="inlineStr">
        <is>
          <t>No</t>
        </is>
      </c>
      <c r="L7" s="12" t="n"/>
      <c r="M7" t="inlineStr">
        <is>
          <t>Patricia Nguyen</t>
        </is>
      </c>
      <c r="N7" t="inlineStr">
        <is>
          <t>Pending Wipe</t>
        </is>
      </c>
    </row>
    <row r="8">
      <c r="A8" t="inlineStr">
        <is>
          <t>DSP-00002</t>
        </is>
      </c>
      <c r="B8" t="inlineStr">
        <is>
          <t>SN98011346</t>
        </is>
      </c>
      <c r="C8" t="inlineStr">
        <is>
          <t>Mobile Phone</t>
        </is>
      </c>
      <c r="D8" t="inlineStr">
        <is>
          <t>Danny Johnson</t>
        </is>
      </c>
      <c r="E8" s="12" t="n">
        <v>46177</v>
      </c>
      <c r="F8" t="inlineStr">
        <is>
          <t>Poor</t>
        </is>
      </c>
      <c r="G8" t="inlineStr">
        <is>
          <t>Yes</t>
        </is>
      </c>
      <c r="H8" t="inlineStr">
        <is>
          <t>Yes</t>
        </is>
      </c>
      <c r="I8" t="inlineStr">
        <is>
          <t>NIST 800-88 Clear</t>
        </is>
      </c>
      <c r="J8" t="inlineStr">
        <is>
          <t>EcoCycle IT Disposal</t>
        </is>
      </c>
      <c r="K8" t="inlineStr">
        <is>
          <t>No</t>
        </is>
      </c>
      <c r="L8" s="12" t="n"/>
      <c r="M8" t="inlineStr">
        <is>
          <t>Robert Kim</t>
        </is>
      </c>
      <c r="N8" t="inlineStr">
        <is>
          <t>Certificate Missing</t>
        </is>
      </c>
    </row>
    <row r="9">
      <c r="A9" t="inlineStr">
        <is>
          <t>DSP-00003</t>
        </is>
      </c>
      <c r="B9" t="inlineStr">
        <is>
          <t>SN49344999</t>
        </is>
      </c>
      <c r="C9" t="inlineStr">
        <is>
          <t>Printer</t>
        </is>
      </c>
      <c r="D9" t="inlineStr">
        <is>
          <t>Adam Moore</t>
        </is>
      </c>
      <c r="E9" s="12" t="n">
        <v>46114</v>
      </c>
      <c r="F9" t="inlineStr">
        <is>
          <t>Damaged</t>
        </is>
      </c>
      <c r="G9" t="inlineStr">
        <is>
          <t>Yes</t>
        </is>
      </c>
      <c r="H9" t="inlineStr">
        <is>
          <t>Yes</t>
        </is>
      </c>
      <c r="I9" t="inlineStr">
        <is>
          <t>NIST 800-88 Clear</t>
        </is>
      </c>
      <c r="J9" t="inlineStr">
        <is>
          <t>SecureShred Electronics</t>
        </is>
      </c>
      <c r="K9" t="inlineStr">
        <is>
          <t>Yes</t>
        </is>
      </c>
      <c r="L9" s="12" t="n">
        <v>46186</v>
      </c>
      <c r="M9" t="inlineStr">
        <is>
          <t>Sandra Lopez</t>
        </is>
      </c>
      <c r="N9" t="inlineStr">
        <is>
          <t>Disposed</t>
        </is>
      </c>
    </row>
    <row r="10">
      <c r="A10" t="inlineStr">
        <is>
          <t>DSP-00004</t>
        </is>
      </c>
      <c r="B10" t="inlineStr">
        <is>
          <t>SN74057195</t>
        </is>
      </c>
      <c r="C10" t="inlineStr">
        <is>
          <t>Monitor</t>
        </is>
      </c>
      <c r="D10" t="inlineStr">
        <is>
          <t>Virginia Steele</t>
        </is>
      </c>
      <c r="E10" s="12" t="n">
        <v>46130</v>
      </c>
      <c r="F10" t="inlineStr">
        <is>
          <t>Non-Functional</t>
        </is>
      </c>
      <c r="G10" t="inlineStr">
        <is>
          <t>No</t>
        </is>
      </c>
      <c r="H10" t="inlineStr">
        <is>
          <t>No</t>
        </is>
      </c>
      <c r="I10" t="inlineStr"/>
      <c r="J10" t="inlineStr"/>
      <c r="K10" t="inlineStr">
        <is>
          <t>No</t>
        </is>
      </c>
      <c r="L10" s="12" t="n"/>
      <c r="M10" t="inlineStr">
        <is>
          <t>Daniel A. Cruz</t>
        </is>
      </c>
      <c r="N10" t="inlineStr">
        <is>
          <t>Hold for Review</t>
        </is>
      </c>
    </row>
    <row r="11">
      <c r="A11" t="inlineStr">
        <is>
          <t>DSP-00005</t>
        </is>
      </c>
      <c r="B11" t="inlineStr">
        <is>
          <t>SN81917860</t>
        </is>
      </c>
      <c r="C11" t="inlineStr">
        <is>
          <t>Scanner</t>
        </is>
      </c>
      <c r="D11" t="inlineStr">
        <is>
          <t>Jared Vazquez</t>
        </is>
      </c>
      <c r="E11" s="12" t="n">
        <v>46137</v>
      </c>
      <c r="F11" t="inlineStr">
        <is>
          <t>Good</t>
        </is>
      </c>
      <c r="G11" t="inlineStr">
        <is>
          <t>Yes</t>
        </is>
      </c>
      <c r="H11" t="inlineStr">
        <is>
          <t>Yes</t>
        </is>
      </c>
      <c r="I11" t="inlineStr">
        <is>
          <t>DOD 5220.22-M</t>
        </is>
      </c>
      <c r="J11" t="inlineStr">
        <is>
          <t>Metro E-Waste Partners</t>
        </is>
      </c>
      <c r="K11" t="inlineStr">
        <is>
          <t>No</t>
        </is>
      </c>
      <c r="L11" s="12" t="n"/>
      <c r="M11" t="inlineStr">
        <is>
          <t>Patricia Nguyen</t>
        </is>
      </c>
      <c r="N11" t="inlineStr">
        <is>
          <t>Pending Vendor Pickup</t>
        </is>
      </c>
    </row>
    <row r="12">
      <c r="A12" t="inlineStr">
        <is>
          <t>DSP-00006</t>
        </is>
      </c>
      <c r="B12" t="inlineStr">
        <is>
          <t>SN76231375</t>
        </is>
      </c>
      <c r="C12" t="inlineStr">
        <is>
          <t>Desktop</t>
        </is>
      </c>
      <c r="D12" t="inlineStr">
        <is>
          <t>Benjamin Skinner</t>
        </is>
      </c>
      <c r="E12" s="12" t="n">
        <v>46075</v>
      </c>
      <c r="F12" t="inlineStr">
        <is>
          <t>Damaged</t>
        </is>
      </c>
      <c r="G12" t="inlineStr">
        <is>
          <t>Yes</t>
        </is>
      </c>
      <c r="H12" t="inlineStr">
        <is>
          <t>Yes</t>
        </is>
      </c>
      <c r="I12" t="inlineStr"/>
      <c r="J12" t="inlineStr"/>
      <c r="K12" t="inlineStr">
        <is>
          <t>Yes</t>
        </is>
      </c>
      <c r="L12" s="12" t="n">
        <v>46146</v>
      </c>
      <c r="M12" t="inlineStr">
        <is>
          <t>Patricia Nguyen</t>
        </is>
      </c>
      <c r="N12" t="inlineStr">
        <is>
          <t>Disposed</t>
        </is>
      </c>
    </row>
    <row r="13">
      <c r="A13" t="inlineStr">
        <is>
          <t>DSP-00007</t>
        </is>
      </c>
      <c r="B13" t="inlineStr">
        <is>
          <t>SN12973570</t>
        </is>
      </c>
      <c r="C13" t="inlineStr">
        <is>
          <t>Printer</t>
        </is>
      </c>
      <c r="D13" t="inlineStr">
        <is>
          <t>Ashley Jones</t>
        </is>
      </c>
      <c r="E13" s="12" t="n">
        <v>46052</v>
      </c>
      <c r="F13" t="inlineStr">
        <is>
          <t>Poor</t>
        </is>
      </c>
      <c r="G13" t="inlineStr">
        <is>
          <t>Yes</t>
        </is>
      </c>
      <c r="H13" t="inlineStr">
        <is>
          <t>Yes</t>
        </is>
      </c>
      <c r="I13" t="inlineStr">
        <is>
          <t>DOD 5220.22-M</t>
        </is>
      </c>
      <c r="J13" t="inlineStr">
        <is>
          <t>Metro E-Waste Partners</t>
        </is>
      </c>
      <c r="K13" t="inlineStr">
        <is>
          <t>No</t>
        </is>
      </c>
      <c r="L13" s="12" t="n"/>
      <c r="M13" t="inlineStr">
        <is>
          <t>Robert Kim</t>
        </is>
      </c>
      <c r="N13" t="inlineStr">
        <is>
          <t>Certificate Missing</t>
        </is>
      </c>
    </row>
    <row r="14">
      <c r="A14" t="inlineStr">
        <is>
          <t>DSP-00008</t>
        </is>
      </c>
      <c r="B14" t="inlineStr">
        <is>
          <t>SN47521734</t>
        </is>
      </c>
      <c r="C14" t="inlineStr">
        <is>
          <t>Desktop</t>
        </is>
      </c>
      <c r="D14" t="inlineStr">
        <is>
          <t>Tyler Rodriguez</t>
        </is>
      </c>
      <c r="E14" s="12" t="n">
        <v>46043</v>
      </c>
      <c r="F14" t="inlineStr">
        <is>
          <t>Poor</t>
        </is>
      </c>
      <c r="G14" t="inlineStr">
        <is>
          <t>Yes</t>
        </is>
      </c>
      <c r="H14" t="inlineStr">
        <is>
          <t>No</t>
        </is>
      </c>
      <c r="I14" t="inlineStr"/>
      <c r="J14" t="inlineStr"/>
      <c r="K14" t="inlineStr">
        <is>
          <t>No</t>
        </is>
      </c>
      <c r="L14" s="12" t="n"/>
      <c r="M14" t="inlineStr">
        <is>
          <t>Robert Kim</t>
        </is>
      </c>
      <c r="N14" t="inlineStr">
        <is>
          <t>Pending Wipe</t>
        </is>
      </c>
    </row>
    <row r="15">
      <c r="A15" t="inlineStr">
        <is>
          <t>DSP-00009</t>
        </is>
      </c>
      <c r="B15" t="inlineStr">
        <is>
          <t>SN85262332</t>
        </is>
      </c>
      <c r="C15" t="inlineStr">
        <is>
          <t>Mobile Phone</t>
        </is>
      </c>
      <c r="D15" t="inlineStr">
        <is>
          <t>Tracy Johnson</t>
        </is>
      </c>
      <c r="E15" s="12" t="n">
        <v>46048</v>
      </c>
      <c r="F15" t="inlineStr">
        <is>
          <t>Damaged</t>
        </is>
      </c>
      <c r="G15" t="inlineStr">
        <is>
          <t>Yes</t>
        </is>
      </c>
      <c r="H15" t="inlineStr">
        <is>
          <t>No</t>
        </is>
      </c>
      <c r="I15" t="inlineStr"/>
      <c r="J15" t="inlineStr"/>
      <c r="K15" t="inlineStr">
        <is>
          <t>No</t>
        </is>
      </c>
      <c r="L15" s="12" t="n"/>
      <c r="M15" t="inlineStr">
        <is>
          <t>Daniel A. Cruz</t>
        </is>
      </c>
      <c r="N15" t="inlineStr">
        <is>
          <t>Pending Wipe</t>
        </is>
      </c>
    </row>
    <row r="16">
      <c r="A16" t="inlineStr">
        <is>
          <t>DSP-00010</t>
        </is>
      </c>
      <c r="B16" t="inlineStr">
        <is>
          <t>SN71494868</t>
        </is>
      </c>
      <c r="C16" t="inlineStr">
        <is>
          <t>Scanner</t>
        </is>
      </c>
      <c r="D16" t="inlineStr">
        <is>
          <t>John Stark</t>
        </is>
      </c>
      <c r="E16" s="12" t="n">
        <v>46172</v>
      </c>
      <c r="F16" t="inlineStr">
        <is>
          <t>Fair</t>
        </is>
      </c>
      <c r="G16" t="inlineStr">
        <is>
          <t>Yes</t>
        </is>
      </c>
      <c r="H16" t="inlineStr">
        <is>
          <t>Yes</t>
        </is>
      </c>
      <c r="I16" t="inlineStr">
        <is>
          <t>DOD 5220.22-M</t>
        </is>
      </c>
      <c r="J16" t="inlineStr">
        <is>
          <t>EcoCycle IT Disposal</t>
        </is>
      </c>
      <c r="K16" t="inlineStr">
        <is>
          <t>No</t>
        </is>
      </c>
      <c r="L16" s="12" t="n"/>
      <c r="M16" t="inlineStr">
        <is>
          <t>Patricia Nguyen</t>
        </is>
      </c>
      <c r="N16" t="inlineStr">
        <is>
          <t>Certificate Missing</t>
        </is>
      </c>
    </row>
    <row r="17">
      <c r="A17" t="inlineStr">
        <is>
          <t>DSP-00011</t>
        </is>
      </c>
      <c r="B17" t="inlineStr">
        <is>
          <t>SN02796181</t>
        </is>
      </c>
      <c r="C17" t="inlineStr">
        <is>
          <t>Desktop</t>
        </is>
      </c>
      <c r="D17" t="inlineStr">
        <is>
          <t>David Wright</t>
        </is>
      </c>
      <c r="E17" s="12" t="n">
        <v>46156</v>
      </c>
      <c r="F17" t="inlineStr">
        <is>
          <t>Good</t>
        </is>
      </c>
      <c r="G17" t="inlineStr">
        <is>
          <t>Yes</t>
        </is>
      </c>
      <c r="H17" t="inlineStr">
        <is>
          <t>Yes</t>
        </is>
      </c>
      <c r="I17" t="inlineStr">
        <is>
          <t>NIST 800-88 Clear</t>
        </is>
      </c>
      <c r="J17" t="inlineStr">
        <is>
          <t>SecureShred Electronics</t>
        </is>
      </c>
      <c r="K17" t="inlineStr">
        <is>
          <t>No</t>
        </is>
      </c>
      <c r="L17" s="12" t="n"/>
      <c r="M17" t="inlineStr">
        <is>
          <t>Daniel A. Cruz</t>
        </is>
      </c>
      <c r="N17" t="inlineStr">
        <is>
          <t>Certificate Missing</t>
        </is>
      </c>
    </row>
    <row r="18">
      <c r="A18" t="inlineStr">
        <is>
          <t>DSP-00012</t>
        </is>
      </c>
      <c r="B18" t="inlineStr">
        <is>
          <t>SN82801874</t>
        </is>
      </c>
      <c r="C18" t="inlineStr">
        <is>
          <t>Printer</t>
        </is>
      </c>
      <c r="D18" t="inlineStr">
        <is>
          <t>Michael Velasquez</t>
        </is>
      </c>
      <c r="E18" s="12" t="n">
        <v>46104</v>
      </c>
      <c r="F18" t="inlineStr">
        <is>
          <t>Good</t>
        </is>
      </c>
      <c r="G18" t="inlineStr">
        <is>
          <t>Yes</t>
        </is>
      </c>
      <c r="H18" t="inlineStr">
        <is>
          <t>No</t>
        </is>
      </c>
      <c r="I18" t="inlineStr"/>
      <c r="J18" t="inlineStr">
        <is>
          <t>Metro E-Waste Partners</t>
        </is>
      </c>
      <c r="K18" t="inlineStr">
        <is>
          <t>No</t>
        </is>
      </c>
      <c r="L18" s="12" t="n"/>
      <c r="M18" t="inlineStr">
        <is>
          <t>Sandra Lopez</t>
        </is>
      </c>
      <c r="N18" t="inlineStr">
        <is>
          <t>Pending Wipe</t>
        </is>
      </c>
    </row>
    <row r="19">
      <c r="A19" t="inlineStr">
        <is>
          <t>DSP-00013</t>
        </is>
      </c>
      <c r="B19" t="inlineStr">
        <is>
          <t>SN85529386</t>
        </is>
      </c>
      <c r="C19" t="inlineStr">
        <is>
          <t>Desktop</t>
        </is>
      </c>
      <c r="D19" t="inlineStr">
        <is>
          <t>Andrew Reeves</t>
        </is>
      </c>
      <c r="E19" s="12" t="n">
        <v>46185</v>
      </c>
      <c r="F19" t="inlineStr">
        <is>
          <t>Poor</t>
        </is>
      </c>
      <c r="G19" t="inlineStr">
        <is>
          <t>Yes</t>
        </is>
      </c>
      <c r="H19" t="inlineStr">
        <is>
          <t>No</t>
        </is>
      </c>
      <c r="I19" t="inlineStr"/>
      <c r="J19" t="inlineStr">
        <is>
          <t>Metro E-Waste Partners</t>
        </is>
      </c>
      <c r="K19" t="inlineStr">
        <is>
          <t>No</t>
        </is>
      </c>
      <c r="L19" s="12" t="n"/>
      <c r="M19" t="inlineStr">
        <is>
          <t>Robert Kim</t>
        </is>
      </c>
      <c r="N19" t="inlineStr">
        <is>
          <t>Pending Wipe</t>
        </is>
      </c>
    </row>
    <row r="20">
      <c r="A20" t="inlineStr">
        <is>
          <t>DSP-00014</t>
        </is>
      </c>
      <c r="B20" t="inlineStr">
        <is>
          <t>SN17786177</t>
        </is>
      </c>
      <c r="C20" t="inlineStr">
        <is>
          <t>Desktop</t>
        </is>
      </c>
      <c r="D20" t="inlineStr">
        <is>
          <t>Martha Murphy</t>
        </is>
      </c>
      <c r="E20" s="12" t="n">
        <v>46178</v>
      </c>
      <c r="F20" t="inlineStr">
        <is>
          <t>Poor</t>
        </is>
      </c>
      <c r="G20" t="inlineStr">
        <is>
          <t>Yes</t>
        </is>
      </c>
      <c r="H20" t="inlineStr">
        <is>
          <t>No</t>
        </is>
      </c>
      <c r="I20" t="inlineStr"/>
      <c r="J20" t="inlineStr">
        <is>
          <t>SecureShred Electronics</t>
        </is>
      </c>
      <c r="K20" t="inlineStr">
        <is>
          <t>No</t>
        </is>
      </c>
      <c r="L20" s="12" t="n"/>
      <c r="M20" t="inlineStr">
        <is>
          <t>Patricia Nguyen</t>
        </is>
      </c>
      <c r="N20" t="inlineStr">
        <is>
          <t>Pending Wipe</t>
        </is>
      </c>
    </row>
    <row r="21">
      <c r="A21" t="inlineStr">
        <is>
          <t>DSP-00015</t>
        </is>
      </c>
      <c r="B21" t="inlineStr">
        <is>
          <t>SN66804869</t>
        </is>
      </c>
      <c r="C21" t="inlineStr">
        <is>
          <t>Mobile Phone</t>
        </is>
      </c>
      <c r="D21" t="inlineStr">
        <is>
          <t>Lydia Lawrence</t>
        </is>
      </c>
      <c r="E21" s="12" t="n">
        <v>46059</v>
      </c>
      <c r="F21" t="inlineStr">
        <is>
          <t>Good</t>
        </is>
      </c>
      <c r="G21" t="inlineStr">
        <is>
          <t>Yes</t>
        </is>
      </c>
      <c r="H21" t="inlineStr">
        <is>
          <t>Yes</t>
        </is>
      </c>
      <c r="I21" t="inlineStr"/>
      <c r="J21" t="inlineStr">
        <is>
          <t>EcoCycle IT Disposal</t>
        </is>
      </c>
      <c r="K21" t="inlineStr">
        <is>
          <t>Yes</t>
        </is>
      </c>
      <c r="L21" s="12" t="n">
        <v>46184</v>
      </c>
      <c r="M21" t="inlineStr">
        <is>
          <t>Patricia Nguyen</t>
        </is>
      </c>
      <c r="N21" t="inlineStr">
        <is>
          <t>Disposed</t>
        </is>
      </c>
    </row>
    <row r="22">
      <c r="A22" t="inlineStr">
        <is>
          <t>DSP-00016</t>
        </is>
      </c>
      <c r="B22" t="inlineStr">
        <is>
          <t>SN14052690</t>
        </is>
      </c>
      <c r="C22" t="inlineStr">
        <is>
          <t>Mobile Phone</t>
        </is>
      </c>
      <c r="D22" t="inlineStr">
        <is>
          <t>Cynthia Bryant</t>
        </is>
      </c>
      <c r="E22" s="12" t="n">
        <v>46109</v>
      </c>
      <c r="F22" t="inlineStr">
        <is>
          <t>Good</t>
        </is>
      </c>
      <c r="G22" t="inlineStr">
        <is>
          <t>Yes</t>
        </is>
      </c>
      <c r="H22" t="inlineStr">
        <is>
          <t>Yes</t>
        </is>
      </c>
      <c r="I22" t="inlineStr"/>
      <c r="J22" t="inlineStr"/>
      <c r="K22" t="inlineStr">
        <is>
          <t>No</t>
        </is>
      </c>
      <c r="L22" s="12" t="n"/>
      <c r="M22" t="inlineStr">
        <is>
          <t>Robert Kim</t>
        </is>
      </c>
      <c r="N22" t="inlineStr">
        <is>
          <t>Certificate Missing</t>
        </is>
      </c>
    </row>
    <row r="23">
      <c r="A23" t="inlineStr">
        <is>
          <t>DSP-00017</t>
        </is>
      </c>
      <c r="B23" t="inlineStr">
        <is>
          <t>SN05033171</t>
        </is>
      </c>
      <c r="C23" t="inlineStr">
        <is>
          <t>Printer</t>
        </is>
      </c>
      <c r="D23" t="inlineStr">
        <is>
          <t>Melinda Reed</t>
        </is>
      </c>
      <c r="E23" s="12" t="n">
        <v>46039</v>
      </c>
      <c r="F23" t="inlineStr">
        <is>
          <t>Good</t>
        </is>
      </c>
      <c r="G23" t="inlineStr">
        <is>
          <t>Yes</t>
        </is>
      </c>
      <c r="H23" t="inlineStr">
        <is>
          <t>No</t>
        </is>
      </c>
      <c r="I23" t="inlineStr"/>
      <c r="J23" t="inlineStr"/>
      <c r="K23" t="inlineStr">
        <is>
          <t>No</t>
        </is>
      </c>
      <c r="L23" s="12" t="n"/>
      <c r="M23" t="inlineStr">
        <is>
          <t>Daniel A. Cruz</t>
        </is>
      </c>
      <c r="N23" t="inlineStr">
        <is>
          <t>Pending Wipe</t>
        </is>
      </c>
    </row>
    <row r="24">
      <c r="A24" t="inlineStr">
        <is>
          <t>DSP-00018</t>
        </is>
      </c>
      <c r="B24" t="inlineStr">
        <is>
          <t>SN86179444</t>
        </is>
      </c>
      <c r="C24" t="inlineStr">
        <is>
          <t>Printer</t>
        </is>
      </c>
      <c r="D24" t="inlineStr">
        <is>
          <t>Sara Williams</t>
        </is>
      </c>
      <c r="E24" s="12" t="n">
        <v>46033</v>
      </c>
      <c r="F24" t="inlineStr">
        <is>
          <t>Damaged</t>
        </is>
      </c>
      <c r="G24" t="inlineStr">
        <is>
          <t>No</t>
        </is>
      </c>
      <c r="H24" t="inlineStr">
        <is>
          <t>No</t>
        </is>
      </c>
      <c r="I24" t="inlineStr"/>
      <c r="J24" t="inlineStr"/>
      <c r="K24" t="inlineStr">
        <is>
          <t>No</t>
        </is>
      </c>
      <c r="L24" s="12" t="n"/>
      <c r="M24" t="inlineStr">
        <is>
          <t>Sandra Lopez</t>
        </is>
      </c>
      <c r="N24" t="inlineStr">
        <is>
          <t>Hold for Review</t>
        </is>
      </c>
    </row>
    <row r="25">
      <c r="A25" t="inlineStr">
        <is>
          <t>DSP-00019</t>
        </is>
      </c>
      <c r="B25" t="inlineStr">
        <is>
          <t>SN21763683</t>
        </is>
      </c>
      <c r="C25" t="inlineStr">
        <is>
          <t>Mobile Phone</t>
        </is>
      </c>
      <c r="D25" t="inlineStr">
        <is>
          <t>Daniel Smith</t>
        </is>
      </c>
      <c r="E25" s="12" t="n">
        <v>46154</v>
      </c>
      <c r="F25" t="inlineStr">
        <is>
          <t>Damaged</t>
        </is>
      </c>
      <c r="G25" t="inlineStr">
        <is>
          <t>No</t>
        </is>
      </c>
      <c r="H25" t="inlineStr">
        <is>
          <t>No</t>
        </is>
      </c>
      <c r="I25" t="inlineStr"/>
      <c r="J25" t="inlineStr">
        <is>
          <t>SecureShred Electronics</t>
        </is>
      </c>
      <c r="K25" t="inlineStr">
        <is>
          <t>No</t>
        </is>
      </c>
      <c r="L25" s="12" t="n"/>
      <c r="M25" t="inlineStr">
        <is>
          <t>Sandra Lopez</t>
        </is>
      </c>
      <c r="N25" t="inlineStr">
        <is>
          <t>Hold for Review</t>
        </is>
      </c>
    </row>
    <row r="26">
      <c r="A26" t="inlineStr">
        <is>
          <t>DSP-00020</t>
        </is>
      </c>
      <c r="B26" t="inlineStr">
        <is>
          <t>SN44126075</t>
        </is>
      </c>
      <c r="C26" t="inlineStr">
        <is>
          <t>Mobile Phone</t>
        </is>
      </c>
      <c r="D26" t="inlineStr">
        <is>
          <t>Maria Daniels</t>
        </is>
      </c>
      <c r="E26" s="12" t="n">
        <v>46075</v>
      </c>
      <c r="F26" t="inlineStr">
        <is>
          <t>Good</t>
        </is>
      </c>
      <c r="G26" t="inlineStr">
        <is>
          <t>Yes</t>
        </is>
      </c>
      <c r="H26" t="inlineStr">
        <is>
          <t>No</t>
        </is>
      </c>
      <c r="I26" t="inlineStr"/>
      <c r="J26" t="inlineStr">
        <is>
          <t>EcoCycle IT Disposal</t>
        </is>
      </c>
      <c r="K26" t="inlineStr">
        <is>
          <t>No</t>
        </is>
      </c>
      <c r="L26" s="12" t="n"/>
      <c r="M26" t="inlineStr">
        <is>
          <t>Sandra Lopez</t>
        </is>
      </c>
      <c r="N26" t="inlineStr">
        <is>
          <t>Pending Wipe</t>
        </is>
      </c>
    </row>
    <row r="27">
      <c r="A27" t="inlineStr">
        <is>
          <t>DSP-00021</t>
        </is>
      </c>
      <c r="B27" t="inlineStr">
        <is>
          <t>SN51041890</t>
        </is>
      </c>
      <c r="C27" t="inlineStr">
        <is>
          <t>Laptop</t>
        </is>
      </c>
      <c r="D27" t="inlineStr">
        <is>
          <t>Heather Gonzalez MD</t>
        </is>
      </c>
      <c r="E27" s="12" t="n">
        <v>46121</v>
      </c>
      <c r="F27" t="inlineStr">
        <is>
          <t>Poor</t>
        </is>
      </c>
      <c r="G27" t="inlineStr">
        <is>
          <t>Yes</t>
        </is>
      </c>
      <c r="H27" t="inlineStr">
        <is>
          <t>No</t>
        </is>
      </c>
      <c r="I27" t="inlineStr"/>
      <c r="J27" t="inlineStr">
        <is>
          <t>EcoCycle IT Disposal</t>
        </is>
      </c>
      <c r="K27" t="inlineStr">
        <is>
          <t>No</t>
        </is>
      </c>
      <c r="L27" s="12" t="n"/>
      <c r="M27" t="inlineStr">
        <is>
          <t>Daniel A. Cruz</t>
        </is>
      </c>
      <c r="N27" t="inlineStr">
        <is>
          <t>Pending Wipe</t>
        </is>
      </c>
    </row>
    <row r="28">
      <c r="A28" t="inlineStr">
        <is>
          <t>DSP-00022</t>
        </is>
      </c>
      <c r="B28" t="inlineStr">
        <is>
          <t>SN28577995</t>
        </is>
      </c>
      <c r="C28" t="inlineStr">
        <is>
          <t>Monitor</t>
        </is>
      </c>
      <c r="D28" t="inlineStr">
        <is>
          <t>Ryan Lawson</t>
        </is>
      </c>
      <c r="E28" s="12" t="n">
        <v>46063</v>
      </c>
      <c r="F28" t="inlineStr">
        <is>
          <t>Poor</t>
        </is>
      </c>
      <c r="G28" t="inlineStr">
        <is>
          <t>Yes</t>
        </is>
      </c>
      <c r="H28" t="inlineStr">
        <is>
          <t>Yes</t>
        </is>
      </c>
      <c r="I28" t="inlineStr"/>
      <c r="J28" t="inlineStr">
        <is>
          <t>SecureShred Electronics</t>
        </is>
      </c>
      <c r="K28" t="inlineStr">
        <is>
          <t>No</t>
        </is>
      </c>
      <c r="L28" s="12" t="n"/>
      <c r="M28" t="inlineStr">
        <is>
          <t>Daniel A. Cruz</t>
        </is>
      </c>
      <c r="N28" t="inlineStr">
        <is>
          <t>Certificate Missing</t>
        </is>
      </c>
    </row>
    <row r="29">
      <c r="A29" t="inlineStr">
        <is>
          <t>DSP-00023</t>
        </is>
      </c>
      <c r="B29" t="inlineStr">
        <is>
          <t>SN18226284</t>
        </is>
      </c>
      <c r="C29" t="inlineStr">
        <is>
          <t>Printer</t>
        </is>
      </c>
      <c r="D29" t="inlineStr">
        <is>
          <t>Jeffrey Williams</t>
        </is>
      </c>
      <c r="E29" s="12" t="n">
        <v>46069</v>
      </c>
      <c r="F29" t="inlineStr">
        <is>
          <t>Good</t>
        </is>
      </c>
      <c r="G29" t="inlineStr">
        <is>
          <t>Yes</t>
        </is>
      </c>
      <c r="H29" t="inlineStr">
        <is>
          <t>No</t>
        </is>
      </c>
      <c r="I29" t="inlineStr"/>
      <c r="J29" t="inlineStr"/>
      <c r="K29" t="inlineStr">
        <is>
          <t>No</t>
        </is>
      </c>
      <c r="L29" s="12" t="n"/>
      <c r="M29" t="inlineStr">
        <is>
          <t>Daniel A. Cruz</t>
        </is>
      </c>
      <c r="N29" t="inlineStr">
        <is>
          <t>Pending Wipe</t>
        </is>
      </c>
    </row>
    <row r="30">
      <c r="A30" t="inlineStr">
        <is>
          <t>DSP-00024</t>
        </is>
      </c>
      <c r="B30" t="inlineStr">
        <is>
          <t>SN84618136</t>
        </is>
      </c>
      <c r="C30" t="inlineStr">
        <is>
          <t>Scanner</t>
        </is>
      </c>
      <c r="D30" t="inlineStr">
        <is>
          <t>Barbara White</t>
        </is>
      </c>
      <c r="E30" s="12" t="n">
        <v>46052</v>
      </c>
      <c r="F30" t="inlineStr">
        <is>
          <t>Fair</t>
        </is>
      </c>
      <c r="G30" t="inlineStr">
        <is>
          <t>Yes</t>
        </is>
      </c>
      <c r="H30" t="inlineStr">
        <is>
          <t>No</t>
        </is>
      </c>
      <c r="I30" t="inlineStr"/>
      <c r="J30" t="inlineStr">
        <is>
          <t>EcoCycle IT Disposal</t>
        </is>
      </c>
      <c r="K30" t="inlineStr">
        <is>
          <t>No</t>
        </is>
      </c>
      <c r="L30" s="12" t="n"/>
      <c r="M30" t="inlineStr">
        <is>
          <t>Sandra Lopez</t>
        </is>
      </c>
      <c r="N30" t="inlineStr">
        <is>
          <t>Pending Wipe</t>
        </is>
      </c>
    </row>
    <row r="31">
      <c r="A31" t="inlineStr">
        <is>
          <t>DSP-00025</t>
        </is>
      </c>
      <c r="B31" t="inlineStr">
        <is>
          <t>SN44232109</t>
        </is>
      </c>
      <c r="C31" t="inlineStr">
        <is>
          <t>Laptop</t>
        </is>
      </c>
      <c r="D31" t="inlineStr">
        <is>
          <t>Sara Harvey</t>
        </is>
      </c>
      <c r="E31" s="12" t="n">
        <v>46057</v>
      </c>
      <c r="F31" t="inlineStr">
        <is>
          <t>Non-Functional</t>
        </is>
      </c>
      <c r="G31" t="inlineStr">
        <is>
          <t>Yes</t>
        </is>
      </c>
      <c r="H31" t="inlineStr">
        <is>
          <t>Yes</t>
        </is>
      </c>
      <c r="I31" t="inlineStr"/>
      <c r="J31" t="inlineStr">
        <is>
          <t>Metro E-Waste Partners</t>
        </is>
      </c>
      <c r="K31" t="inlineStr">
        <is>
          <t>No</t>
        </is>
      </c>
      <c r="L31" s="12" t="n"/>
      <c r="M31" t="inlineStr">
        <is>
          <t>Patricia Nguyen</t>
        </is>
      </c>
      <c r="N31" t="inlineStr">
        <is>
          <t>Certificate Missing</t>
        </is>
      </c>
    </row>
  </sheetData>
  <mergeCells count="12">
    <mergeCell ref="A4:B4"/>
    <mergeCell ref="G4:H4"/>
    <mergeCell ref="J3:K3"/>
    <mergeCell ref="J4:K4"/>
    <mergeCell ref="M4:N4"/>
    <mergeCell ref="D4:E4"/>
    <mergeCell ref="M3:N3"/>
    <mergeCell ref="A2:J2"/>
    <mergeCell ref="D3:E3"/>
    <mergeCell ref="A3:B3"/>
    <mergeCell ref="G3:H3"/>
    <mergeCell ref="A1:N1"/>
  </mergeCells>
  <conditionalFormatting sqref="N7:N31">
    <cfRule type="expression" priority="1" dxfId="3">
      <formula>$N7="Pending Wipe"</formula>
    </cfRule>
    <cfRule type="expression" priority="2" dxfId="2">
      <formula>$N7="Wiped"</formula>
    </cfRule>
    <cfRule type="expression" priority="3" dxfId="2">
      <formula>$N7="Pending Vendor Pickup"</formula>
    </cfRule>
    <cfRule type="expression" priority="4" dxfId="0">
      <formula>$N7="Disposed"</formula>
    </cfRule>
    <cfRule type="expression" priority="5" dxfId="1">
      <formula>$N7="Certificate Missing"</formula>
    </cfRule>
    <cfRule type="expression" priority="6" dxfId="4">
      <formula>$N7="Hold for Review"</formula>
    </cfRule>
  </conditionalFormatting>
  <dataValidations count="4">
    <dataValidation sqref="G7:G31" showDropDown="0" showInputMessage="0" showErrorMessage="1" allowBlank="1" errorTitle="Invalid Entry" error="Please select a value from the dropdown list." type="list">
      <formula1>"Yes,No"</formula1>
    </dataValidation>
    <dataValidation sqref="H7:H31" showDropDown="0" showInputMessage="0" showErrorMessage="1" allowBlank="1" errorTitle="Invalid Entry" error="Please select a value from the dropdown list." type="list">
      <formula1>"Yes,No"</formula1>
    </dataValidation>
    <dataValidation sqref="K7:K31" showDropDown="0" showInputMessage="0" showErrorMessage="1" allowBlank="1" errorTitle="Invalid Entry" error="Please select a value from the dropdown list." type="list">
      <formula1>"Yes,No"</formula1>
    </dataValidation>
    <dataValidation sqref="N7:N31" showDropDown="0" showInputMessage="0" showErrorMessage="1" allowBlank="1" errorTitle="Invalid Entry" error="Please select a value from the dropdown list." type="list">
      <formula1>"Pending Wipe,Wiped,Pending Vendor Pickup,Disposed,Certificate Missing,Hold for Review"</formula1>
    </dataValidation>
  </dataValidations>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J36"/>
  <sheetViews>
    <sheetView showGridLines="0" workbookViewId="0">
      <selection activeCell="A1" sqref="A1"/>
    </sheetView>
  </sheetViews>
  <sheetFormatPr baseColWidth="8" defaultRowHeight="15"/>
  <cols>
    <col width="16" customWidth="1" min="1" max="1"/>
    <col width="18" customWidth="1" min="2" max="2"/>
    <col width="22" customWidth="1" min="3" max="3"/>
    <col width="14" customWidth="1" min="4" max="4"/>
    <col width="2" customWidth="1" min="5" max="5"/>
    <col width="14" customWidth="1" min="6" max="6"/>
    <col width="16" customWidth="1" min="7" max="7"/>
    <col width="24" customWidth="1" min="8" max="8"/>
    <col width="18" customWidth="1" min="9" max="9"/>
    <col width="8" customWidth="1" min="10" max="10"/>
  </cols>
  <sheetData>
    <row r="1" ht="30" customHeight="1">
      <c r="A1" s="14" t="inlineStr">
        <is>
          <t>Management Summary</t>
        </is>
      </c>
    </row>
    <row r="2" ht="18" customHeight="1">
      <c r="A2" s="20" t="inlineStr">
        <is>
          <t>v1.0.0 | Executive Overview | Reference Date: July 01, 2026</t>
        </is>
      </c>
    </row>
    <row r="3">
      <c r="A3" s="4" t="inlineStr">
        <is>
          <t>1. Inventory Health Highlights</t>
        </is>
      </c>
      <c r="B3" s="5" t="n"/>
      <c r="C3" s="5" t="n"/>
      <c r="D3" s="5" t="n"/>
      <c r="E3" s="5" t="n"/>
      <c r="F3" s="5" t="n"/>
      <c r="G3" s="5" t="n"/>
      <c r="H3" s="5" t="n"/>
      <c r="I3" s="5" t="n"/>
      <c r="J3" s="6" t="n"/>
    </row>
    <row r="4">
      <c r="A4" s="15" t="inlineStr">
        <is>
          <t>Total Inventory Value</t>
        </is>
      </c>
      <c r="B4" s="16" t="n"/>
      <c r="C4" s="15" t="inlineStr">
        <is>
          <t>Aged Inventory Value</t>
        </is>
      </c>
      <c r="D4" s="16" t="n"/>
      <c r="E4" s="15" t="inlineStr">
        <is>
          <t>Excess Inventory Value</t>
        </is>
      </c>
      <c r="F4" s="16" t="n"/>
      <c r="G4" s="15" t="inlineStr">
        <is>
          <t>Transfer Candidates</t>
        </is>
      </c>
      <c r="H4" s="16" t="n"/>
      <c r="I4" s="15" t="inlineStr">
        <is>
          <t>Markdown Candidates</t>
        </is>
      </c>
      <c r="J4" s="16" t="n"/>
    </row>
    <row r="5">
      <c r="A5" s="17">
        <f>SUM('Master Inventory'!N3:N122)</f>
        <v/>
      </c>
      <c r="B5" s="16" t="n"/>
      <c r="C5" s="17">
        <f>SUMIF('Master Inventory'!Q3:Q122,"&gt;180",'Master Inventory'!N3:N122)</f>
        <v/>
      </c>
      <c r="D5" s="16" t="n"/>
      <c r="E5" s="17">
        <f>SUMIF('Master Inventory'!U3:U122,"Excess",'Master Inventory'!N3:N122)+SUMIF('Master Inventory'!U3:U122,"Excess / Aged",'Master Inventory'!N3:N122)</f>
        <v/>
      </c>
      <c r="F5" s="16" t="n"/>
      <c r="G5" s="18">
        <f>COUNTIF('Master Inventory'!V3:V122,"Review Transfer")+COUNTIF('Master Inventory'!V3:V122,"Transfer or Markdown")</f>
        <v/>
      </c>
      <c r="H5" s="16" t="n"/>
      <c r="I5" s="18">
        <f>COUNTIF('Master Inventory'!V3:V122,"Markdown Review")+COUNTIF('Master Inventory'!V3:V122,"Transfer or Markdown")+COUNTIF('Master Inventory'!V3:V122,"Liquidate")</f>
        <v/>
      </c>
      <c r="J5" s="16" t="n"/>
    </row>
    <row r="7">
      <c r="A7" s="4" t="inlineStr">
        <is>
          <t>2. IT Asset Control Highlights</t>
        </is>
      </c>
      <c r="B7" s="5" t="n"/>
      <c r="C7" s="5" t="n"/>
      <c r="D7" s="5" t="n"/>
      <c r="E7" s="5" t="n"/>
      <c r="F7" s="5" t="n"/>
      <c r="G7" s="5" t="n"/>
      <c r="H7" s="5" t="n"/>
      <c r="I7" s="5" t="n"/>
      <c r="J7" s="6" t="n"/>
    </row>
    <row r="8">
      <c r="A8" s="15" t="inlineStr">
        <is>
          <t>Total IT Assets</t>
        </is>
      </c>
      <c r="B8" s="16" t="n"/>
      <c r="C8" s="15" t="inlineStr">
        <is>
          <t>Assigned Assets</t>
        </is>
      </c>
      <c r="D8" s="16" t="n"/>
      <c r="E8" s="15" t="inlineStr">
        <is>
          <t>Missing Assets</t>
        </is>
      </c>
      <c r="F8" s="16" t="n"/>
      <c r="G8" s="15" t="inlineStr">
        <is>
          <t>Audit Exceptions</t>
        </is>
      </c>
      <c r="H8" s="16" t="n"/>
      <c r="I8" s="15" t="inlineStr">
        <is>
          <t>Assets Pending Disposal</t>
        </is>
      </c>
      <c r="J8" s="16" t="n"/>
    </row>
    <row r="9">
      <c r="A9" s="18">
        <f>COUNTA('IT Asset Register'!A3:A122)</f>
        <v/>
      </c>
      <c r="B9" s="16" t="n"/>
      <c r="C9" s="18">
        <f>COUNTIF('IT Asset Register'!L3:L122,"Assigned")</f>
        <v/>
      </c>
      <c r="D9" s="16" t="n"/>
      <c r="E9" s="18">
        <f>COUNTIF('IT Asset Register'!L3:L122,"Missing")</f>
        <v/>
      </c>
      <c r="F9" s="16" t="n"/>
      <c r="G9" s="18" t="inlineStr">
        <is>
          <t>20</t>
        </is>
      </c>
      <c r="H9" s="16" t="n"/>
      <c r="I9" s="18">
        <f>COUNTIF('Disposal Log'!N7:N31,"Pending Wipe")+COUNTIF('Disposal Log'!N7:N31,"Wiped")+COUNTIF('Disposal Log'!N7:N31,"Pending Vendor Pickup")+COUNTIF('Disposal Log'!N7:N31,"Certificate Missing")+COUNTIF('Disposal Log'!N7:N31,"Hold for Review")</f>
        <v/>
      </c>
      <c r="J9" s="16" t="n"/>
    </row>
    <row r="11">
      <c r="A11" s="4" t="inlineStr">
        <is>
          <t>3. Software License Risks</t>
        </is>
      </c>
      <c r="B11" s="5" t="n"/>
      <c r="C11" s="5" t="n"/>
      <c r="D11" s="5" t="n"/>
      <c r="E11" s="5" t="n"/>
      <c r="F11" s="5" t="n"/>
      <c r="G11" s="5" t="n"/>
      <c r="H11" s="5" t="n"/>
      <c r="I11" s="5" t="n"/>
      <c r="J11" s="6" t="n"/>
    </row>
    <row r="12">
      <c r="A12" s="15" t="inlineStr">
        <is>
          <t>Total Software Records</t>
        </is>
      </c>
      <c r="B12" s="16" t="n"/>
      <c r="C12" s="15" t="inlineStr">
        <is>
          <t>Over-Assigned Licenses</t>
        </is>
      </c>
      <c r="D12" s="16" t="n"/>
      <c r="E12" s="15" t="inlineStr">
        <is>
          <t>Renewals Due ≤ 90 Days</t>
        </is>
      </c>
      <c r="F12" s="16" t="n"/>
      <c r="G12" s="15" t="inlineStr">
        <is>
          <t>Total Annual Software Cost</t>
        </is>
      </c>
      <c r="H12" s="16" t="n"/>
    </row>
    <row r="13">
      <c r="A13" s="18">
        <f>COUNTA('Software Licenses'!A7:A28)</f>
        <v/>
      </c>
      <c r="B13" s="16" t="n"/>
      <c r="C13" s="18">
        <f>COUNTIF('Software Licenses'!L7:L28,"Over-Assigned")</f>
        <v/>
      </c>
      <c r="D13" s="16" t="n"/>
      <c r="E13" s="18">
        <f>COUNTIF('Software Licenses'!H7:H28,"&lt;=90")</f>
        <v/>
      </c>
      <c r="F13" s="16" t="n"/>
      <c r="G13" s="17">
        <f>SUM('Software Licenses'!K7:K28)</f>
        <v/>
      </c>
      <c r="H13" s="16" t="n"/>
    </row>
    <row r="15">
      <c r="A15" s="4" t="inlineStr">
        <is>
          <t>4. Disposal / Lifecycle Risks</t>
        </is>
      </c>
      <c r="B15" s="5" t="n"/>
      <c r="C15" s="5" t="n"/>
      <c r="D15" s="5" t="n"/>
      <c r="E15" s="5" t="n"/>
      <c r="F15" s="5" t="n"/>
      <c r="G15" s="5" t="n"/>
      <c r="H15" s="5" t="n"/>
      <c r="I15" s="5" t="n"/>
      <c r="J15" s="6" t="n"/>
    </row>
    <row r="16">
      <c r="A16" s="15" t="inlineStr">
        <is>
          <t>Pending Wipe</t>
        </is>
      </c>
      <c r="B16" s="16" t="n"/>
      <c r="C16" s="15" t="inlineStr">
        <is>
          <t>Certificate Missing</t>
        </is>
      </c>
      <c r="D16" s="16" t="n"/>
      <c r="E16" s="15" t="inlineStr">
        <is>
          <t>Disposed</t>
        </is>
      </c>
      <c r="F16" s="16" t="n"/>
      <c r="G16" s="15" t="inlineStr">
        <is>
          <t>Hold for Review</t>
        </is>
      </c>
      <c r="H16" s="16" t="n"/>
    </row>
    <row r="17">
      <c r="A17" s="18">
        <f>COUNTIF('Disposal Log'!N7:N31,"Pending Wipe")</f>
        <v/>
      </c>
      <c r="B17" s="16" t="n"/>
      <c r="C17" s="18">
        <f>COUNTIF('Disposal Log'!N7:N31,"Certificate Missing")</f>
        <v/>
      </c>
      <c r="D17" s="16" t="n"/>
      <c r="E17" s="18">
        <f>COUNTIF('Disposal Log'!N7:N31,"Disposed")</f>
        <v/>
      </c>
      <c r="F17" s="16" t="n"/>
      <c r="G17" s="18">
        <f>COUNTIF('Disposal Log'!N7:N31,"Hold for Review")</f>
        <v/>
      </c>
      <c r="H17" s="16" t="n"/>
    </row>
    <row r="19">
      <c r="A19" s="4" t="inlineStr">
        <is>
          <t>Executive Summaries</t>
        </is>
      </c>
      <c r="B19" s="5" t="n"/>
      <c r="C19" s="5" t="n"/>
      <c r="D19" s="5" t="n"/>
      <c r="E19" s="5" t="n"/>
      <c r="F19" s="5" t="n"/>
      <c r="G19" s="5" t="n"/>
      <c r="H19" s="5" t="n"/>
      <c r="I19" s="5" t="n"/>
      <c r="J19" s="6" t="n"/>
    </row>
    <row r="20">
      <c r="A20" s="21" t="inlineStr">
        <is>
          <t>Recommended Action Summary</t>
        </is>
      </c>
      <c r="D20" s="21" t="inlineStr">
        <is>
          <t>Audit Exception Summary</t>
        </is>
      </c>
      <c r="G20" s="21" t="inlineStr">
        <is>
          <t>Software Compliance Summary</t>
        </is>
      </c>
    </row>
    <row r="21">
      <c r="A21" s="9" t="inlineStr">
        <is>
          <t>Monitor</t>
        </is>
      </c>
      <c r="B21" s="22" t="n">
        <v>39</v>
      </c>
      <c r="D21" s="9" t="inlineStr">
        <is>
          <t>Missing from Audit</t>
        </is>
      </c>
      <c r="E21" s="22" t="n">
        <v>4</v>
      </c>
      <c r="G21" s="9" t="inlineStr">
        <is>
          <t>Compliant</t>
        </is>
      </c>
      <c r="H21" s="22" t="n">
        <v>15</v>
      </c>
    </row>
    <row r="22">
      <c r="A22" t="inlineStr">
        <is>
          <t>Transfer or Markdown</t>
        </is>
      </c>
      <c r="B22" s="10" t="n">
        <v>34</v>
      </c>
      <c r="D22" t="inlineStr">
        <is>
          <t>Missing Asset Tag</t>
        </is>
      </c>
      <c r="E22" s="10" t="n">
        <v>4</v>
      </c>
      <c r="G22" t="inlineStr">
        <is>
          <t>Renewal Watch</t>
        </is>
      </c>
      <c r="H22" s="10" t="n">
        <v>5</v>
      </c>
    </row>
    <row r="23">
      <c r="A23" t="inlineStr">
        <is>
          <t>Replenish</t>
        </is>
      </c>
      <c r="B23" s="10" t="n">
        <v>21</v>
      </c>
      <c r="D23" t="inlineStr">
        <is>
          <t>Wrong User</t>
        </is>
      </c>
      <c r="E23" s="10" t="n">
        <v>4</v>
      </c>
      <c r="G23" t="inlineStr">
        <is>
          <t>Over-Assigned</t>
        </is>
      </c>
      <c r="H23" s="10" t="n">
        <v>1</v>
      </c>
    </row>
    <row r="24">
      <c r="A24" s="4" t="inlineStr">
        <is>
          <t>5. Top Risks</t>
        </is>
      </c>
      <c r="B24" s="5" t="n"/>
      <c r="C24" s="5" t="n"/>
      <c r="D24" s="5" t="n"/>
      <c r="E24" s="5" t="n"/>
      <c r="F24" s="5" t="n"/>
      <c r="G24" s="5" t="n"/>
      <c r="H24" s="5" t="n"/>
      <c r="I24" s="5" t="n"/>
      <c r="J24" s="6" t="n"/>
    </row>
    <row r="25">
      <c r="A25" s="21" t="inlineStr">
        <is>
          <t>Top 5 Inventory Risks</t>
        </is>
      </c>
      <c r="E25" s="10" t="n">
        <v>3</v>
      </c>
      <c r="F25" s="21" t="inlineStr">
        <is>
          <t>Top 5 IT Asset Risks</t>
        </is>
      </c>
    </row>
    <row r="26">
      <c r="A26" s="9" t="inlineStr">
        <is>
          <t>T-1019</t>
        </is>
      </c>
      <c r="B26" s="9" t="inlineStr">
        <is>
          <t>Store-Brooklyn</t>
        </is>
      </c>
      <c r="C26" s="9" t="inlineStr">
        <is>
          <t>Excess / Aged</t>
        </is>
      </c>
      <c r="D26" s="23" t="n">
        <v>12783.33</v>
      </c>
      <c r="F26" s="9" t="inlineStr">
        <is>
          <t>DSK-00003</t>
        </is>
      </c>
      <c r="G26" s="9" t="inlineStr">
        <is>
          <t>Desktop</t>
        </is>
      </c>
      <c r="H26" s="9" t="inlineStr">
        <is>
          <t>Missing — Audit Exception</t>
        </is>
      </c>
      <c r="I26" s="9" t="inlineStr">
        <is>
          <t>Store-Bronx</t>
        </is>
      </c>
    </row>
    <row r="27">
      <c r="A27" t="inlineStr">
        <is>
          <t>T-1003</t>
        </is>
      </c>
      <c r="B27" t="inlineStr">
        <is>
          <t>Store-Bronx</t>
        </is>
      </c>
      <c r="C27" t="inlineStr">
        <is>
          <t>Excess / Aged</t>
        </is>
      </c>
      <c r="D27" s="11" t="n">
        <v>12643.75</v>
      </c>
      <c r="F27" t="inlineStr">
        <is>
          <t>DSK-00098</t>
        </is>
      </c>
      <c r="G27" t="inlineStr">
        <is>
          <t>Desktop</t>
        </is>
      </c>
      <c r="H27" t="inlineStr">
        <is>
          <t>Missing — Audit Exception</t>
        </is>
      </c>
      <c r="I27" t="inlineStr">
        <is>
          <t>DC-PA</t>
        </is>
      </c>
    </row>
    <row r="28">
      <c r="A28" t="inlineStr">
        <is>
          <t>T-1023</t>
        </is>
      </c>
      <c r="B28" t="inlineStr">
        <is>
          <t>DC-PA</t>
        </is>
      </c>
      <c r="C28" t="inlineStr">
        <is>
          <t>Excess / Aged</t>
        </is>
      </c>
      <c r="D28" s="11" t="n">
        <v>12572.1</v>
      </c>
      <c r="F28" t="inlineStr">
        <is>
          <t>LAP-00051</t>
        </is>
      </c>
      <c r="G28" t="inlineStr">
        <is>
          <t>Laptop</t>
        </is>
      </c>
      <c r="H28" t="inlineStr">
        <is>
          <t>Missing — Audit Exception</t>
        </is>
      </c>
      <c r="I28" t="inlineStr">
        <is>
          <t>Store-Yonkers</t>
        </is>
      </c>
    </row>
    <row r="29">
      <c r="A29" t="inlineStr">
        <is>
          <t>B-1055</t>
        </is>
      </c>
      <c r="B29" t="inlineStr">
        <is>
          <t>Store-Brooklyn</t>
        </is>
      </c>
      <c r="C29" t="inlineStr">
        <is>
          <t>Excess / Aged</t>
        </is>
      </c>
      <c r="D29" s="11" t="n">
        <v>11654.87</v>
      </c>
      <c r="F29" t="inlineStr">
        <is>
          <t>MOB-00025</t>
        </is>
      </c>
      <c r="G29" t="inlineStr">
        <is>
          <t>Mobile Phone</t>
        </is>
      </c>
      <c r="H29" t="inlineStr">
        <is>
          <t>Missing — Audit Exception</t>
        </is>
      </c>
      <c r="I29" t="inlineStr">
        <is>
          <t>Store-Manhattan</t>
        </is>
      </c>
    </row>
    <row r="30">
      <c r="A30" t="inlineStr">
        <is>
          <t>B-1045</t>
        </is>
      </c>
      <c r="B30" t="inlineStr">
        <is>
          <t>Store-Brooklyn</t>
        </is>
      </c>
      <c r="C30" t="inlineStr">
        <is>
          <t>Excess / Aged</t>
        </is>
      </c>
      <c r="D30" s="11" t="n">
        <v>11394.17</v>
      </c>
      <c r="F30" t="inlineStr">
        <is>
          <t>DSK-00057</t>
        </is>
      </c>
      <c r="G30" t="inlineStr">
        <is>
          <t>Desktop</t>
        </is>
      </c>
      <c r="H30" t="inlineStr">
        <is>
          <t>In Repair — Service Backlog</t>
        </is>
      </c>
      <c r="I30" t="inlineStr">
        <is>
          <t>Store-Stamford</t>
        </is>
      </c>
    </row>
    <row r="32">
      <c r="A32" s="4" t="inlineStr">
        <is>
          <t>6. 30 / 60 / 90 Day Action Plan</t>
        </is>
      </c>
      <c r="B32" s="5" t="n"/>
      <c r="C32" s="5" t="n"/>
      <c r="D32" s="5" t="n"/>
      <c r="E32" s="5" t="n"/>
      <c r="F32" s="5" t="n"/>
      <c r="G32" s="5" t="n"/>
      <c r="H32" s="5" t="n"/>
      <c r="I32" s="5" t="n"/>
      <c r="J32" s="6" t="n"/>
    </row>
    <row r="33">
      <c r="A33" s="15" t="inlineStr">
        <is>
          <t>30 Days</t>
        </is>
      </c>
      <c r="D33" s="15" t="inlineStr">
        <is>
          <t>60 Days</t>
        </is>
      </c>
      <c r="G33" s="15" t="inlineStr">
        <is>
          <t>90 Days</t>
        </is>
      </c>
    </row>
    <row r="34" ht="28" customHeight="1">
      <c r="A34" s="24" t="inlineStr">
        <is>
          <t>• Validate asset and inventory records</t>
        </is>
      </c>
      <c r="D34" s="24" t="inlineStr">
        <is>
          <t>• Standardize audit and reconciliation procedures</t>
        </is>
      </c>
      <c r="G34" s="24" t="inlineStr">
        <is>
          <t>• Automate recurring reports</t>
        </is>
      </c>
    </row>
    <row r="35" ht="28" customHeight="1">
      <c r="A35" s="24" t="inlineStr">
        <is>
          <t>• Review high-risk exceptions</t>
        </is>
      </c>
      <c r="D35" s="24" t="inlineStr">
        <is>
          <t>• Improve dashboard reporting</t>
        </is>
      </c>
      <c r="G35" s="24" t="inlineStr">
        <is>
          <t>• Build KPI review cadence</t>
        </is>
      </c>
    </row>
    <row r="36" ht="28" customHeight="1">
      <c r="A36" s="24" t="inlineStr">
        <is>
          <t>• Confirm current reporting needs</t>
        </is>
      </c>
      <c r="D36" s="24" t="inlineStr">
        <is>
          <t>• Identify recurring inventory issues</t>
        </is>
      </c>
      <c r="G36" s="24" t="inlineStr">
        <is>
          <t>• Recommend process improvements</t>
        </is>
      </c>
    </row>
  </sheetData>
  <mergeCells count="62">
    <mergeCell ref="E12:F12"/>
    <mergeCell ref="D20:E20"/>
    <mergeCell ref="G12:H12"/>
    <mergeCell ref="A32:J32"/>
    <mergeCell ref="C5:D5"/>
    <mergeCell ref="E5:F5"/>
    <mergeCell ref="G34:I34"/>
    <mergeCell ref="G8:H8"/>
    <mergeCell ref="E17:F17"/>
    <mergeCell ref="E8:F8"/>
    <mergeCell ref="G17:H17"/>
    <mergeCell ref="A19:J19"/>
    <mergeCell ref="C4:D4"/>
    <mergeCell ref="G33:I33"/>
    <mergeCell ref="E4:F4"/>
    <mergeCell ref="A16:B16"/>
    <mergeCell ref="A33:C33"/>
    <mergeCell ref="C16:D16"/>
    <mergeCell ref="A15:J15"/>
    <mergeCell ref="G35:I35"/>
    <mergeCell ref="E13:F13"/>
    <mergeCell ref="A24:J24"/>
    <mergeCell ref="C9:D9"/>
    <mergeCell ref="G13:H13"/>
    <mergeCell ref="F25:I25"/>
    <mergeCell ref="E9:F9"/>
    <mergeCell ref="A35:C35"/>
    <mergeCell ref="D33:F33"/>
    <mergeCell ref="A11:J11"/>
    <mergeCell ref="A12:B12"/>
    <mergeCell ref="A1:J1"/>
    <mergeCell ref="C12:D12"/>
    <mergeCell ref="A5:B5"/>
    <mergeCell ref="G5:H5"/>
    <mergeCell ref="D35:F35"/>
    <mergeCell ref="I5:J5"/>
    <mergeCell ref="A7:J7"/>
    <mergeCell ref="A25:D25"/>
    <mergeCell ref="I8:J8"/>
    <mergeCell ref="A17:B17"/>
    <mergeCell ref="A34:C34"/>
    <mergeCell ref="A8:B8"/>
    <mergeCell ref="C17:D17"/>
    <mergeCell ref="C8:D8"/>
    <mergeCell ref="D34:F34"/>
    <mergeCell ref="A4:B4"/>
    <mergeCell ref="G4:H4"/>
    <mergeCell ref="A20:B20"/>
    <mergeCell ref="G20:H20"/>
    <mergeCell ref="I4:J4"/>
    <mergeCell ref="A36:C36"/>
    <mergeCell ref="E16:F16"/>
    <mergeCell ref="G36:I36"/>
    <mergeCell ref="G16:H16"/>
    <mergeCell ref="A3:J3"/>
    <mergeCell ref="D36:F36"/>
    <mergeCell ref="A13:B13"/>
    <mergeCell ref="C13:D13"/>
    <mergeCell ref="A2:J2"/>
    <mergeCell ref="A9:B9"/>
    <mergeCell ref="G9:H9"/>
    <mergeCell ref="I9:J9"/>
  </mergeCells>
  <printOptions horizontalCentered="1"/>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Daniel A. Cruz</dc:creator>
  <dc:title>Inventory &amp; IT Asset Control Toolkit</dc:title>
  <dc:subject>Inventory &amp; IT Asset Control</dc:subject>
  <dcterms:created xsi:type="dcterms:W3CDTF">2026-07-07T02:19:26Z</dcterms:created>
  <dcterms:modified xsi:type="dcterms:W3CDTF">2026-07-07T02:19:26Z</dcterms:modified>
</cp:coreProperties>
</file>